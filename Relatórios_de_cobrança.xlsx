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6a4f7fcf29a9b87/Vigias_2020_2022/"/>
    </mc:Choice>
  </mc:AlternateContent>
  <xr:revisionPtr revIDLastSave="0" documentId="8_{3F65CA1A-6F53-4CF1-8373-B9E7A7886C41}" xr6:coauthVersionLast="47" xr6:coauthVersionMax="47" xr10:uidLastSave="{00000000-0000-0000-0000-000000000000}"/>
  <bookViews>
    <workbookView xWindow="-19310" yWindow="-110" windowWidth="19420" windowHeight="10420" activeTab="2" xr2:uid="{8E23FF42-27F3-4A10-B10E-5C6656BFF83D}"/>
  </bookViews>
  <sheets>
    <sheet name="Planilha1" sheetId="1" r:id="rId1"/>
    <sheet name="Planilha2" sheetId="2" r:id="rId2"/>
    <sheet name="Planilh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37" i="3" l="1"/>
  <c r="K19" i="3"/>
  <c r="K18" i="3"/>
  <c r="K13" i="3"/>
  <c r="C15" i="3"/>
  <c r="E15" i="3"/>
  <c r="C14" i="3"/>
  <c r="K10" i="3"/>
  <c r="J8" i="3"/>
  <c r="C10" i="3"/>
  <c r="C8" i="3"/>
  <c r="C7" i="3"/>
  <c r="C6" i="3"/>
  <c r="K4" i="3"/>
  <c r="I2" i="3"/>
  <c r="K19" i="2"/>
  <c r="E21" i="2"/>
  <c r="B21" i="2"/>
  <c r="B20" i="2"/>
  <c r="I16" i="2"/>
  <c r="I15" i="2"/>
  <c r="I13" i="2"/>
  <c r="C16" i="2"/>
  <c r="C15" i="2"/>
  <c r="C14" i="2"/>
  <c r="C13" i="2"/>
  <c r="C12" i="2"/>
  <c r="K1" i="2"/>
  <c r="J42" i="1"/>
  <c r="J28" i="1"/>
  <c r="I28" i="1"/>
  <c r="G28" i="1"/>
  <c r="F28" i="1"/>
  <c r="J23" i="1"/>
  <c r="J25" i="1" s="1"/>
  <c r="J21" i="1"/>
  <c r="J19" i="1"/>
  <c r="J30" i="1" l="1"/>
  <c r="A40" i="3" l="1"/>
  <c r="C40" i="3"/>
  <c r="C9" i="3"/>
  <c r="K39" i="2"/>
  <c r="K42" i="2" s="1"/>
</calcChain>
</file>

<file path=xl/sharedStrings.xml><?xml version="1.0" encoding="utf-8"?>
<sst xmlns="http://schemas.openxmlformats.org/spreadsheetml/2006/main" count="124" uniqueCount="108">
  <si>
    <t>RELATÓRIO DE FATURAMENTO</t>
  </si>
  <si>
    <t>Nº</t>
  </si>
  <si>
    <t>DADOS DO NAVIO/PORTO</t>
  </si>
  <si>
    <t>Nº DO NAVIO</t>
  </si>
  <si>
    <t>DATA INICIAL</t>
  </si>
  <si>
    <t>NOME DO NAVIO</t>
  </si>
  <si>
    <t>PORTO</t>
  </si>
  <si>
    <t>DATA FINAL</t>
  </si>
  <si>
    <t xml:space="preserve">LOCAL </t>
  </si>
  <si>
    <t xml:space="preserve"> </t>
  </si>
  <si>
    <t>DADOS CADASTRAIS - AGÊNCIA</t>
  </si>
  <si>
    <t>CNPJ</t>
  </si>
  <si>
    <t>INSCR. MUN.</t>
  </si>
  <si>
    <t>AGÊNCIA</t>
  </si>
  <si>
    <t>ENDEREÇO</t>
  </si>
  <si>
    <t xml:space="preserve">CEP.: </t>
  </si>
  <si>
    <t xml:space="preserve">CIDADE/UF: </t>
  </si>
  <si>
    <t>RIO DE JANEIRO/RJ</t>
  </si>
  <si>
    <t>TEL:</t>
  </si>
  <si>
    <t>E-MAIL:</t>
  </si>
  <si>
    <t>DESCRIÇÃO DOS CUSTOS</t>
  </si>
  <si>
    <t>REPASSE COM OS VIGIAS PORTUÁRIOS</t>
  </si>
  <si>
    <t>MMO VIGIAS</t>
  </si>
  <si>
    <t/>
  </si>
  <si>
    <t>ENCARGOS</t>
  </si>
  <si>
    <t>SUB TOTAL</t>
  </si>
  <si>
    <t>ADMINISTRAÇÃO</t>
  </si>
  <si>
    <t>BENEFÍCIOS</t>
  </si>
  <si>
    <t>Períodos - Vale Transporte - Valor</t>
  </si>
  <si>
    <t>Períodos - Vale Refeição - Valor</t>
  </si>
  <si>
    <t>TOTAL</t>
  </si>
  <si>
    <t>MEMÓRIA DE CÁLCULO DOS ENCARGOS</t>
  </si>
  <si>
    <t>PREVIDÊNCIA PATRONAL</t>
  </si>
  <si>
    <t>13º SALÁRIO</t>
  </si>
  <si>
    <t>FÉRIAS</t>
  </si>
  <si>
    <t>FGTS</t>
  </si>
  <si>
    <t>TOTAL DOS ENCARGOS</t>
  </si>
  <si>
    <t>MUITO IMPORTANTE</t>
  </si>
  <si>
    <t>Os pagamentos devem ser realizados somente na conta abaixo descriminada:</t>
  </si>
  <si>
    <t>SINDICATO DOS VIGIAS PORTUÁRIOS DO ESTADO DO RIO DE JANEIRO</t>
  </si>
  <si>
    <t>CNPJ: 34.160.960/0001-30</t>
  </si>
  <si>
    <t>CAIXA ECONÔMICA FEDERAL</t>
  </si>
  <si>
    <t>AG. 0209</t>
  </si>
  <si>
    <t>OP: 1388</t>
  </si>
  <si>
    <t>C/POUPANÇA: 000718677787-3</t>
  </si>
  <si>
    <t>FATURA DE SERVIÇOS</t>
  </si>
  <si>
    <t xml:space="preserve">Nº </t>
  </si>
  <si>
    <t xml:space="preserve">Data: </t>
  </si>
  <si>
    <t>PRESTADOR DE SERVIÇOS</t>
  </si>
  <si>
    <t xml:space="preserve">Empresa: </t>
  </si>
  <si>
    <t>CNPJ:</t>
  </si>
  <si>
    <t>34.160.960/0001-30</t>
  </si>
  <si>
    <t>Insc. Municipal:</t>
  </si>
  <si>
    <t xml:space="preserve">Endereço: </t>
  </si>
  <si>
    <t>Rua Sacadura Cabral, 120 - salas 401 a 403 - Saúde</t>
  </si>
  <si>
    <t>CEP.:</t>
  </si>
  <si>
    <t>20081-262</t>
  </si>
  <si>
    <t>Cidade/UF:</t>
  </si>
  <si>
    <t>Rio de Janeiro/RJ</t>
  </si>
  <si>
    <t>Telefone:</t>
  </si>
  <si>
    <t>(21) 2263-4430</t>
  </si>
  <si>
    <t>E-mail:</t>
  </si>
  <si>
    <t>sindvig.secretario@gmail.com</t>
  </si>
  <si>
    <t>TOMADOR DE SERVIÇOS</t>
  </si>
  <si>
    <t>Descrição dos Serviços</t>
  </si>
  <si>
    <t>Valor R$</t>
  </si>
  <si>
    <t xml:space="preserve">Taxa de Administração com Vigias </t>
  </si>
  <si>
    <t>Navio:</t>
  </si>
  <si>
    <t>Porto:</t>
  </si>
  <si>
    <t>Sub Total R$</t>
  </si>
  <si>
    <t>Outros Créditos R$</t>
  </si>
  <si>
    <t>Outros Débitos R$</t>
  </si>
  <si>
    <t>Total R$</t>
  </si>
  <si>
    <t>OUTRAS INFORMAÇÕES</t>
  </si>
  <si>
    <t>Nota de Débito Nº</t>
  </si>
  <si>
    <t>Rua Sacadura Cabral, 120 - salas 401 a 403 - Saúde - Rio de Janeiro/RJ</t>
  </si>
  <si>
    <t>CEP.: 20081-262</t>
  </si>
  <si>
    <t>Nat. da Op.: Repasse de Custo</t>
  </si>
  <si>
    <t>Tel.: (21) 2263-4430</t>
  </si>
  <si>
    <t>Data de Emissão:</t>
  </si>
  <si>
    <t>,</t>
  </si>
  <si>
    <t>Destinatário:</t>
  </si>
  <si>
    <t>Endereço:</t>
  </si>
  <si>
    <t>Município/RUF:</t>
  </si>
  <si>
    <t>Cep.:</t>
  </si>
  <si>
    <t>Local de Pagamento:</t>
  </si>
  <si>
    <t>Inscr. Mun.:</t>
  </si>
  <si>
    <t>Descrição das Cobranças</t>
  </si>
  <si>
    <t>REPASSE CORRESPONDENTE AOS CUSTOS COM VIGIAS PORTUÁRIOS</t>
  </si>
  <si>
    <t>NAVIO:</t>
  </si>
  <si>
    <t>PORTO:</t>
  </si>
  <si>
    <t>Vale Transporte</t>
  </si>
  <si>
    <t>Vale Refeção</t>
  </si>
  <si>
    <t>Valor dos Serviços R$</t>
  </si>
  <si>
    <t>ISS R$</t>
  </si>
  <si>
    <t>Vencimento</t>
  </si>
  <si>
    <t>Declaramos que o Sindicato dos Vigias Portuários do Est. RJ, prestou os serviços constantes neste documento.</t>
  </si>
  <si>
    <t>Em,____/____/________</t>
  </si>
  <si>
    <t>Assinatura</t>
  </si>
  <si>
    <t>Sindicato dos Vigias Portuários do Estado do Rio de Janeiro</t>
  </si>
  <si>
    <t>BANGLAR ARJAN</t>
  </si>
  <si>
    <t>RIO DE JANEIRO</t>
  </si>
  <si>
    <t>AO LARGO</t>
  </si>
  <si>
    <t>17.033.530/0004-81</t>
  </si>
  <si>
    <t>NORTH STAR SUDESTE SERVICOS MARITIMOS LTDA</t>
  </si>
  <si>
    <t>RUA DO PASSEIO, 387 SAL 1501/1504 - CENTRO</t>
  </si>
  <si>
    <t>20.021-290</t>
  </si>
  <si>
    <t>rio@nsshipping.com.br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</si>
</sst>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.0000%"/>
    <numFmt numFmtId="165" formatCode="0.00000%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26"/>
      <color rgb="FFC00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22"/>
      <name val="Aptos Narrow"/>
      <family val="2"/>
      <scheme val="minor"/>
    </font>
    <font>
      <b/>
      <sz val="11"/>
      <name val="Aptos Display"/>
      <family val="1"/>
      <scheme val="maj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u/>
      <sz val="11"/>
      <name val="Calibri"/>
      <family val="2"/>
    </font>
    <font>
      <b/>
      <sz val="7"/>
      <name val="Arial"/>
      <family val="2"/>
    </font>
    <font>
      <vertAlign val="superscript"/>
      <sz val="8"/>
      <name val="Aptos Narrow"/>
      <family val="2"/>
      <scheme val="minor"/>
    </font>
    <font>
      <vertAlign val="superscript"/>
      <sz val="8"/>
      <color theme="1"/>
      <name val="Aptos Narrow"/>
      <family val="2"/>
      <scheme val="minor"/>
    </font>
    <font>
      <b/>
      <u/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000000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149">
    <xf numFmtId="0" fontId="0" fillId="0" borderId="0" xfId="0"/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5" fillId="0" borderId="1" xfId="0" applyFont="1" applyBorder="1"/>
    <xf numFmtId="0" fontId="5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/>
    <xf numFmtId="0" fontId="6" fillId="0" borderId="0" xfId="0" applyFont="1" applyAlignment="1">
      <alignment vertical="center"/>
    </xf>
    <xf numFmtId="0" fontId="2" fillId="2" borderId="5" xfId="0" applyFont="1" applyFill="1" applyBorder="1" applyAlignment="1">
      <alignment horizontal="center"/>
    </xf>
    <xf numFmtId="14" fontId="0" fillId="0" borderId="5" xfId="0" applyNumberFormat="1" applyBorder="1" applyAlignment="1">
      <alignment horizontal="center"/>
    </xf>
    <xf numFmtId="14" fontId="2" fillId="2" borderId="5" xfId="0" applyNumberFormat="1" applyFont="1" applyFill="1" applyBorder="1" applyAlignment="1">
      <alignment horizontal="center"/>
    </xf>
    <xf numFmtId="0" fontId="2" fillId="0" borderId="6" xfId="0" applyFont="1" applyBorder="1"/>
    <xf numFmtId="0" fontId="0" fillId="0" borderId="7" xfId="0" applyBorder="1"/>
    <xf numFmtId="0" fontId="2" fillId="0" borderId="0" xfId="0" applyFont="1"/>
    <xf numFmtId="41" fontId="0" fillId="0" borderId="8" xfId="0" applyNumberFormat="1" applyBorder="1"/>
    <xf numFmtId="0" fontId="0" fillId="0" borderId="8" xfId="0" applyBorder="1"/>
    <xf numFmtId="0" fontId="0" fillId="0" borderId="6" xfId="0" applyBorder="1"/>
    <xf numFmtId="0" fontId="2" fillId="0" borderId="7" xfId="0" applyFont="1" applyBorder="1"/>
    <xf numFmtId="0" fontId="7" fillId="0" borderId="7" xfId="0" applyFont="1" applyBorder="1"/>
    <xf numFmtId="0" fontId="3" fillId="0" borderId="7" xfId="2" applyFill="1" applyBorder="1" applyAlignment="1" applyProtection="1"/>
    <xf numFmtId="0" fontId="0" fillId="0" borderId="9" xfId="0" applyBorder="1"/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0" fillId="0" borderId="4" xfId="0" applyBorder="1"/>
    <xf numFmtId="43" fontId="0" fillId="0" borderId="5" xfId="0" applyNumberFormat="1" applyBorder="1"/>
    <xf numFmtId="43" fontId="0" fillId="0" borderId="8" xfId="0" quotePrefix="1" applyNumberFormat="1" applyBorder="1"/>
    <xf numFmtId="0" fontId="0" fillId="2" borderId="0" xfId="0" applyFill="1"/>
    <xf numFmtId="10" fontId="0" fillId="0" borderId="0" xfId="0" applyNumberFormat="1"/>
    <xf numFmtId="43" fontId="0" fillId="0" borderId="8" xfId="0" applyNumberFormat="1" applyBorder="1"/>
    <xf numFmtId="10" fontId="0" fillId="2" borderId="0" xfId="0" applyNumberFormat="1" applyFill="1"/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" fontId="0" fillId="0" borderId="13" xfId="0" applyNumberFormat="1" applyBorder="1" applyAlignment="1">
      <alignment horizontal="center"/>
    </xf>
    <xf numFmtId="4" fontId="0" fillId="0" borderId="0" xfId="0" applyNumberFormat="1" applyAlignment="1">
      <alignment horizontal="center"/>
    </xf>
    <xf numFmtId="0" fontId="0" fillId="0" borderId="12" xfId="0" applyBorder="1" applyAlignment="1">
      <alignment horizontal="center"/>
    </xf>
    <xf numFmtId="4" fontId="0" fillId="0" borderId="10" xfId="0" applyNumberFormat="1" applyBorder="1" applyAlignment="1">
      <alignment horizont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2" xfId="0" applyBorder="1"/>
    <xf numFmtId="0" fontId="0" fillId="0" borderId="3" xfId="0" applyBorder="1"/>
    <xf numFmtId="165" fontId="0" fillId="0" borderId="5" xfId="0" applyNumberFormat="1" applyBorder="1"/>
    <xf numFmtId="0" fontId="0" fillId="0" borderId="1" xfId="0" applyBorder="1"/>
    <xf numFmtId="164" fontId="0" fillId="0" borderId="5" xfId="0" applyNumberFormat="1" applyBorder="1"/>
    <xf numFmtId="164" fontId="0" fillId="0" borderId="8" xfId="0" applyNumberFormat="1" applyBorder="1"/>
    <xf numFmtId="165" fontId="0" fillId="0" borderId="5" xfId="1" applyNumberFormat="1" applyFont="1" applyBorder="1"/>
    <xf numFmtId="0" fontId="0" fillId="3" borderId="0" xfId="0" applyFill="1"/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9" fillId="0" borderId="10" xfId="0" applyFont="1" applyBorder="1"/>
    <xf numFmtId="0" fontId="9" fillId="0" borderId="12" xfId="0" applyFont="1" applyBorder="1" applyAlignment="1">
      <alignment horizontal="right"/>
    </xf>
    <xf numFmtId="0" fontId="10" fillId="0" borderId="0" xfId="0" applyFont="1"/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11" fillId="0" borderId="6" xfId="0" applyFont="1" applyBorder="1"/>
    <xf numFmtId="14" fontId="11" fillId="0" borderId="9" xfId="0" applyNumberFormat="1" applyFont="1" applyBorder="1"/>
    <xf numFmtId="0" fontId="10" fillId="0" borderId="4" xfId="0" applyFont="1" applyBorder="1"/>
    <xf numFmtId="14" fontId="10" fillId="0" borderId="8" xfId="0" applyNumberFormat="1" applyFont="1" applyBorder="1"/>
    <xf numFmtId="0" fontId="11" fillId="0" borderId="1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10" xfId="0" applyFont="1" applyBorder="1"/>
    <xf numFmtId="0" fontId="11" fillId="0" borderId="11" xfId="0" applyFont="1" applyBorder="1"/>
    <xf numFmtId="0" fontId="10" fillId="0" borderId="11" xfId="0" applyFont="1" applyBorder="1"/>
    <xf numFmtId="0" fontId="11" fillId="0" borderId="12" xfId="0" applyFont="1" applyBorder="1"/>
    <xf numFmtId="0" fontId="11" fillId="0" borderId="4" xfId="0" applyFont="1" applyBorder="1"/>
    <xf numFmtId="0" fontId="11" fillId="0" borderId="0" xfId="0" applyFont="1"/>
    <xf numFmtId="0" fontId="9" fillId="0" borderId="0" xfId="0" applyFont="1"/>
    <xf numFmtId="0" fontId="9" fillId="0" borderId="8" xfId="0" applyFont="1" applyBorder="1"/>
    <xf numFmtId="0" fontId="11" fillId="0" borderId="8" xfId="0" applyFont="1" applyBorder="1"/>
    <xf numFmtId="0" fontId="10" fillId="0" borderId="8" xfId="0" applyFont="1" applyBorder="1"/>
    <xf numFmtId="0" fontId="10" fillId="0" borderId="7" xfId="0" applyFont="1" applyBorder="1"/>
    <xf numFmtId="0" fontId="11" fillId="0" borderId="7" xfId="0" applyFont="1" applyBorder="1"/>
    <xf numFmtId="0" fontId="3" fillId="0" borderId="7" xfId="2" applyBorder="1"/>
    <xf numFmtId="0" fontId="10" fillId="0" borderId="9" xfId="0" applyFont="1" applyBorder="1"/>
    <xf numFmtId="41" fontId="10" fillId="0" borderId="0" xfId="0" applyNumberFormat="1" applyFont="1"/>
    <xf numFmtId="0" fontId="10" fillId="0" borderId="0" xfId="0" applyFont="1" applyAlignment="1">
      <alignment horizontal="left"/>
    </xf>
    <xf numFmtId="0" fontId="12" fillId="0" borderId="7" xfId="2" applyFont="1" applyBorder="1"/>
    <xf numFmtId="14" fontId="10" fillId="0" borderId="4" xfId="0" applyNumberFormat="1" applyFont="1" applyBorder="1"/>
    <xf numFmtId="14" fontId="10" fillId="0" borderId="0" xfId="0" applyNumberFormat="1" applyFont="1"/>
    <xf numFmtId="0" fontId="11" fillId="0" borderId="1" xfId="0" applyFont="1" applyBorder="1"/>
    <xf numFmtId="0" fontId="11" fillId="0" borderId="2" xfId="0" applyFont="1" applyBorder="1"/>
    <xf numFmtId="0" fontId="11" fillId="0" borderId="3" xfId="0" applyFont="1" applyBorder="1"/>
    <xf numFmtId="0" fontId="11" fillId="0" borderId="3" xfId="0" applyFont="1" applyBorder="1" applyAlignment="1">
      <alignment horizontal="center"/>
    </xf>
    <xf numFmtId="43" fontId="10" fillId="0" borderId="8" xfId="0" applyNumberFormat="1" applyFont="1" applyBorder="1"/>
    <xf numFmtId="49" fontId="10" fillId="0" borderId="0" xfId="0" applyNumberFormat="1" applyFont="1"/>
    <xf numFmtId="0" fontId="10" fillId="0" borderId="0" xfId="0" applyFont="1" applyAlignment="1">
      <alignment horizontal="center"/>
    </xf>
    <xf numFmtId="2" fontId="10" fillId="0" borderId="8" xfId="0" applyNumberFormat="1" applyFont="1" applyBorder="1"/>
    <xf numFmtId="4" fontId="10" fillId="0" borderId="8" xfId="0" applyNumberFormat="1" applyFont="1" applyBorder="1"/>
    <xf numFmtId="43" fontId="11" fillId="0" borderId="3" xfId="0" applyNumberFormat="1" applyFont="1" applyBorder="1"/>
    <xf numFmtId="43" fontId="11" fillId="0" borderId="5" xfId="0" applyNumberFormat="1" applyFont="1" applyBorder="1"/>
    <xf numFmtId="0" fontId="11" fillId="0" borderId="2" xfId="0" applyFont="1" applyBorder="1" applyAlignment="1">
      <alignment horizontal="center"/>
    </xf>
    <xf numFmtId="0" fontId="11" fillId="0" borderId="1" xfId="0" applyFont="1" applyBorder="1" applyAlignment="1">
      <alignment horizontal="left"/>
    </xf>
    <xf numFmtId="0" fontId="11" fillId="0" borderId="2" xfId="0" applyFont="1" applyBorder="1" applyAlignment="1">
      <alignment horizontal="left"/>
    </xf>
    <xf numFmtId="0" fontId="10" fillId="0" borderId="2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2" xfId="0" applyFont="1" applyBorder="1"/>
    <xf numFmtId="0" fontId="10" fillId="0" borderId="12" xfId="0" applyFont="1" applyBorder="1"/>
    <xf numFmtId="0" fontId="13" fillId="0" borderId="0" xfId="0" applyFont="1" applyAlignment="1">
      <alignment wrapText="1"/>
    </xf>
    <xf numFmtId="0" fontId="14" fillId="0" borderId="0" xfId="0" applyFont="1"/>
    <xf numFmtId="0" fontId="10" fillId="0" borderId="6" xfId="0" applyFont="1" applyBorder="1"/>
    <xf numFmtId="0" fontId="11" fillId="0" borderId="10" xfId="0" applyFont="1" applyBorder="1" applyAlignment="1">
      <alignment horizontal="center"/>
    </xf>
    <xf numFmtId="0" fontId="11" fillId="0" borderId="11" xfId="0" applyFont="1" applyBorder="1" applyAlignment="1">
      <alignment horizontal="center"/>
    </xf>
    <xf numFmtId="0" fontId="11" fillId="0" borderId="12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8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14" fontId="11" fillId="0" borderId="9" xfId="0" applyNumberFormat="1" applyFont="1" applyBorder="1" applyAlignment="1">
      <alignment horizontal="center"/>
    </xf>
    <xf numFmtId="14" fontId="0" fillId="0" borderId="0" xfId="0" applyNumberFormat="1"/>
    <xf numFmtId="0" fontId="2" fillId="0" borderId="10" xfId="0" applyFont="1" applyBorder="1"/>
    <xf numFmtId="0" fontId="2" fillId="0" borderId="11" xfId="0" applyFont="1" applyBorder="1"/>
    <xf numFmtId="0" fontId="0" fillId="0" borderId="11" xfId="0" applyBorder="1"/>
    <xf numFmtId="0" fontId="0" fillId="0" borderId="12" xfId="0" applyBorder="1"/>
    <xf numFmtId="41" fontId="0" fillId="0" borderId="9" xfId="0" applyNumberFormat="1" applyBorder="1"/>
    <xf numFmtId="14" fontId="0" fillId="0" borderId="4" xfId="0" applyNumberFormat="1" applyBorder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3" xfId="0" applyFont="1" applyBorder="1" applyAlignment="1">
      <alignment horizontal="center"/>
    </xf>
    <xf numFmtId="49" fontId="0" fillId="0" borderId="0" xfId="0" applyNumberFormat="1"/>
    <xf numFmtId="43" fontId="2" fillId="0" borderId="3" xfId="0" applyNumberFormat="1" applyFont="1" applyBorder="1"/>
    <xf numFmtId="0" fontId="2" fillId="0" borderId="8" xfId="0" applyFont="1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43" fontId="0" fillId="0" borderId="1" xfId="0" applyNumberFormat="1" applyBorder="1" applyAlignment="1">
      <alignment horizontal="center"/>
    </xf>
    <xf numFmtId="43" fontId="0" fillId="0" borderId="2" xfId="0" applyNumberFormat="1" applyBorder="1" applyAlignment="1">
      <alignment horizontal="center"/>
    </xf>
    <xf numFmtId="43" fontId="0" fillId="0" borderId="3" xfId="0" applyNumberFormat="1" applyBorder="1" applyAlignment="1">
      <alignment horizontal="center"/>
    </xf>
    <xf numFmtId="43" fontId="0" fillId="0" borderId="3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4" fontId="0" fillId="0" borderId="3" xfId="0" applyNumberFormat="1" applyBorder="1" applyAlignment="1">
      <alignment horizontal="center"/>
    </xf>
    <xf numFmtId="0" fontId="0" fillId="0" borderId="10" xfId="0" applyBorder="1"/>
    <xf numFmtId="0" fontId="15" fillId="0" borderId="11" xfId="0" applyFont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6" fillId="3" borderId="0" xfId="0" applyFont="1" applyFill="1"/>
    <xf numFmtId="0" fontId="17" fillId="0" borderId="0" xfId="0" applyFont="1"/>
    <xf numFmtId="0" fontId="18" fillId="4" borderId="0" xfId="0" applyFont="1" applyFill="1" applyAlignment="1">
      <alignment horizontal="left"/>
    </xf>
  </cellXfs>
  <cellStyles count="3">
    <cellStyle name="Hiperlink" xfId="2" builtinId="8"/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operation.rio@bpabr.com.br" TargetMode="External"/><Relationship Id="rId1" Type="http://schemas.openxmlformats.org/officeDocument/2006/relationships/hyperlink" Target="mailto:rio@nsshipping.com.br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sindvig.secretari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D5174-35D4-463F-80C0-B6EDDADB566B}">
  <dimension ref="A1:J51"/>
  <sheetViews>
    <sheetView topLeftCell="A23" zoomScale="170" zoomScaleNormal="170" workbookViewId="0">
      <selection activeCell="J19" sqref="J19"/>
    </sheetView>
  </sheetViews>
  <sheetFormatPr defaultRowHeight="15" x14ac:dyDescent="0.25"/>
  <cols>
    <col min="10" max="10" width="11.42578125" customWidth="1"/>
  </cols>
  <sheetData>
    <row r="1" spans="1:10" ht="28.5" x14ac:dyDescent="0.45">
      <c r="A1" s="1" t="s">
        <v>0</v>
      </c>
      <c r="B1" s="2"/>
      <c r="C1" s="2"/>
      <c r="D1" s="2"/>
      <c r="E1" s="2"/>
      <c r="F1" s="2"/>
      <c r="G1" s="2"/>
      <c r="H1" s="3"/>
      <c r="I1" s="4" t="s">
        <v>1</v>
      </c>
      <c r="J1" s="5">
        <v>2900</v>
      </c>
    </row>
    <row r="3" spans="1:10" x14ac:dyDescent="0.25">
      <c r="A3" s="6" t="s">
        <v>2</v>
      </c>
      <c r="B3" s="7"/>
      <c r="C3" s="7"/>
      <c r="D3" s="7"/>
      <c r="E3" s="7"/>
      <c r="F3" s="7"/>
      <c r="G3" s="7"/>
      <c r="H3" s="7"/>
      <c r="I3" s="7"/>
      <c r="J3" s="8"/>
    </row>
    <row r="4" spans="1:10" ht="14.45" customHeight="1" x14ac:dyDescent="0.25">
      <c r="A4" s="9" t="s">
        <v>3</v>
      </c>
      <c r="F4" s="10"/>
      <c r="G4" s="10"/>
      <c r="J4" s="11" t="s">
        <v>4</v>
      </c>
    </row>
    <row r="5" spans="1:10" ht="14.45" customHeight="1" x14ac:dyDescent="0.25">
      <c r="A5" s="9" t="s">
        <v>5</v>
      </c>
      <c r="D5" t="s">
        <v>100</v>
      </c>
      <c r="F5" s="10"/>
      <c r="G5" s="10"/>
      <c r="J5" s="12">
        <v>46260</v>
      </c>
    </row>
    <row r="6" spans="1:10" ht="14.45" customHeight="1" x14ac:dyDescent="0.25">
      <c r="A6" s="9" t="s">
        <v>6</v>
      </c>
      <c r="D6" t="s">
        <v>101</v>
      </c>
      <c r="F6" s="10"/>
      <c r="G6" s="10"/>
      <c r="J6" s="13" t="s">
        <v>7</v>
      </c>
    </row>
    <row r="7" spans="1:10" x14ac:dyDescent="0.25">
      <c r="A7" s="14" t="s">
        <v>8</v>
      </c>
      <c r="B7" s="15"/>
      <c r="C7" s="15"/>
      <c r="D7" s="15" t="s">
        <v>102</v>
      </c>
      <c r="E7" s="15"/>
      <c r="F7" s="15"/>
      <c r="G7" s="15"/>
      <c r="H7" s="15"/>
      <c r="I7" s="15"/>
      <c r="J7" s="12">
        <v>46261</v>
      </c>
    </row>
    <row r="8" spans="1:10" x14ac:dyDescent="0.25">
      <c r="I8" t="s">
        <v>9</v>
      </c>
    </row>
    <row r="9" spans="1:10" x14ac:dyDescent="0.25">
      <c r="A9" s="6" t="s">
        <v>10</v>
      </c>
      <c r="B9" s="7"/>
      <c r="C9" s="7"/>
      <c r="D9" s="7"/>
      <c r="E9" s="7"/>
      <c r="F9" s="7"/>
      <c r="G9" s="7"/>
      <c r="H9" s="7"/>
      <c r="I9" s="7"/>
      <c r="J9" s="8"/>
    </row>
    <row r="10" spans="1:10" x14ac:dyDescent="0.25">
      <c r="A10" s="9" t="s">
        <v>11</v>
      </c>
      <c r="D10" t="s">
        <v>103</v>
      </c>
      <c r="G10" s="16"/>
      <c r="H10" t="s">
        <v>12</v>
      </c>
      <c r="J10" s="17">
        <v>0</v>
      </c>
    </row>
    <row r="11" spans="1:10" x14ac:dyDescent="0.25">
      <c r="A11" s="9" t="s">
        <v>13</v>
      </c>
      <c r="D11" t="s">
        <v>104</v>
      </c>
      <c r="J11" s="18"/>
    </row>
    <row r="12" spans="1:10" x14ac:dyDescent="0.25">
      <c r="A12" s="9" t="s">
        <v>14</v>
      </c>
      <c r="D12" t="s">
        <v>105</v>
      </c>
      <c r="J12" s="18"/>
    </row>
    <row r="13" spans="1:10" x14ac:dyDescent="0.25">
      <c r="A13" s="9"/>
      <c r="D13" t="s">
        <v>15</v>
      </c>
      <c r="E13" t="s">
        <v>106</v>
      </c>
      <c r="G13" t="s">
        <v>16</v>
      </c>
      <c r="H13" t="s">
        <v>17</v>
      </c>
      <c r="J13" s="18"/>
    </row>
    <row r="14" spans="1:10" x14ac:dyDescent="0.25">
      <c r="A14" s="19"/>
      <c r="B14" s="15"/>
      <c r="C14" s="15"/>
      <c r="D14" s="20" t="s">
        <v>18</v>
      </c>
      <c r="E14" s="21"/>
      <c r="F14" s="20"/>
      <c r="G14" s="20" t="s">
        <v>19</v>
      </c>
      <c r="H14" s="22" t="s">
        <v>107</v>
      </c>
      <c r="I14" s="15"/>
      <c r="J14" s="23"/>
    </row>
    <row r="16" spans="1:10" x14ac:dyDescent="0.25">
      <c r="A16" s="24" t="s">
        <v>20</v>
      </c>
      <c r="B16" s="25"/>
      <c r="C16" s="25"/>
      <c r="D16" s="25"/>
      <c r="E16" s="25"/>
      <c r="F16" s="25"/>
      <c r="G16" s="25"/>
      <c r="H16" s="25"/>
      <c r="I16" s="25"/>
      <c r="J16" s="26"/>
    </row>
    <row r="17" spans="1:10" x14ac:dyDescent="0.25">
      <c r="A17" s="27" t="s">
        <v>21</v>
      </c>
      <c r="B17" s="28"/>
      <c r="C17" s="28"/>
      <c r="D17" s="28"/>
      <c r="E17" s="28"/>
      <c r="F17" s="28"/>
      <c r="G17" s="28"/>
      <c r="H17" s="28"/>
      <c r="I17" s="28"/>
      <c r="J17" s="29"/>
    </row>
    <row r="18" spans="1:10" x14ac:dyDescent="0.25">
      <c r="A18" s="30"/>
      <c r="J18" s="18"/>
    </row>
    <row r="19" spans="1:10" x14ac:dyDescent="0.25">
      <c r="A19" s="9" t="s">
        <v>22</v>
      </c>
      <c r="J19" s="31">
        <f>(220.52*2)+(330.79*3)</f>
        <v>1433.41</v>
      </c>
    </row>
    <row r="20" spans="1:10" x14ac:dyDescent="0.25">
      <c r="A20" s="9"/>
      <c r="J20" s="32" t="s">
        <v>23</v>
      </c>
    </row>
    <row r="21" spans="1:10" x14ac:dyDescent="0.25">
      <c r="A21" s="9" t="s">
        <v>24</v>
      </c>
      <c r="H21" s="36">
        <v>0.59619999999999995</v>
      </c>
      <c r="I21" s="33"/>
      <c r="J21" s="31">
        <f>J19*H21</f>
        <v>854.59904199999994</v>
      </c>
    </row>
    <row r="22" spans="1:10" x14ac:dyDescent="0.25">
      <c r="A22" s="9"/>
      <c r="H22" s="34"/>
      <c r="J22" s="35"/>
    </row>
    <row r="23" spans="1:10" x14ac:dyDescent="0.25">
      <c r="A23" s="9" t="s">
        <v>25</v>
      </c>
      <c r="H23" s="34"/>
      <c r="J23" s="31">
        <f>SUM(J19:J21)</f>
        <v>2288.0090420000001</v>
      </c>
    </row>
    <row r="24" spans="1:10" x14ac:dyDescent="0.25">
      <c r="A24" s="9"/>
      <c r="H24" s="34"/>
      <c r="J24" s="35"/>
    </row>
    <row r="25" spans="1:10" x14ac:dyDescent="0.25">
      <c r="A25" s="9" t="s">
        <v>26</v>
      </c>
      <c r="H25" s="36">
        <v>0.9</v>
      </c>
      <c r="I25" s="33"/>
      <c r="J25" s="31">
        <f>J23*H25</f>
        <v>2059.2081378000003</v>
      </c>
    </row>
    <row r="26" spans="1:10" x14ac:dyDescent="0.25">
      <c r="A26" s="9"/>
      <c r="H26" s="34"/>
      <c r="J26" s="35"/>
    </row>
    <row r="27" spans="1:10" x14ac:dyDescent="0.25">
      <c r="A27" s="9" t="s">
        <v>27</v>
      </c>
      <c r="D27" s="37" t="s">
        <v>28</v>
      </c>
      <c r="E27" s="37"/>
      <c r="F27" s="37"/>
      <c r="G27" s="38" t="s">
        <v>29</v>
      </c>
      <c r="H27" s="38"/>
      <c r="I27" s="38"/>
      <c r="J27" s="35"/>
    </row>
    <row r="28" spans="1:10" x14ac:dyDescent="0.25">
      <c r="A28" s="9"/>
      <c r="D28" s="39">
        <v>5</v>
      </c>
      <c r="E28" s="40">
        <v>9.98</v>
      </c>
      <c r="F28" s="41">
        <f>D28*E28</f>
        <v>49.900000000000006</v>
      </c>
      <c r="G28" s="42">
        <f>D28</f>
        <v>5</v>
      </c>
      <c r="H28" s="40">
        <v>13.69</v>
      </c>
      <c r="I28" s="43">
        <f>G28*H28</f>
        <v>68.45</v>
      </c>
      <c r="J28" s="31">
        <f>F28+I28</f>
        <v>118.35000000000001</v>
      </c>
    </row>
    <row r="29" spans="1:10" x14ac:dyDescent="0.25">
      <c r="A29" s="9"/>
      <c r="H29" s="34"/>
      <c r="J29" s="35"/>
    </row>
    <row r="30" spans="1:10" x14ac:dyDescent="0.25">
      <c r="A30" s="14" t="s">
        <v>30</v>
      </c>
      <c r="B30" s="15"/>
      <c r="C30" s="15"/>
      <c r="D30" s="15"/>
      <c r="E30" s="15"/>
      <c r="F30" s="15"/>
      <c r="G30" s="15"/>
      <c r="H30" s="15"/>
      <c r="I30" s="15"/>
      <c r="J30" s="31">
        <f>J23+J25+J28</f>
        <v>4465.5671798000003</v>
      </c>
    </row>
    <row r="32" spans="1:10" x14ac:dyDescent="0.25">
      <c r="A32" s="6" t="s">
        <v>31</v>
      </c>
      <c r="B32" s="7"/>
      <c r="C32" s="7"/>
      <c r="D32" s="7"/>
      <c r="E32" s="7"/>
      <c r="F32" s="7"/>
      <c r="G32" s="7"/>
      <c r="H32" s="7"/>
      <c r="I32" s="7"/>
      <c r="J32" s="8"/>
    </row>
    <row r="33" spans="1:10" x14ac:dyDescent="0.25">
      <c r="A33" s="30"/>
      <c r="J33" s="18"/>
    </row>
    <row r="34" spans="1:10" x14ac:dyDescent="0.25">
      <c r="A34" s="44" t="s">
        <v>32</v>
      </c>
      <c r="B34" s="45"/>
      <c r="C34" s="46"/>
      <c r="D34" s="46"/>
      <c r="E34" s="46"/>
      <c r="F34" s="46"/>
      <c r="G34" s="46"/>
      <c r="H34" s="46"/>
      <c r="I34" s="47"/>
      <c r="J34" s="48">
        <v>0.28710000000000002</v>
      </c>
    </row>
    <row r="35" spans="1:10" x14ac:dyDescent="0.25">
      <c r="A35" s="30"/>
      <c r="J35" s="18"/>
    </row>
    <row r="36" spans="1:10" x14ac:dyDescent="0.25">
      <c r="A36" s="49" t="s">
        <v>33</v>
      </c>
      <c r="B36" s="46"/>
      <c r="C36" s="46"/>
      <c r="D36" s="46"/>
      <c r="E36" s="46"/>
      <c r="F36" s="46"/>
      <c r="G36" s="46"/>
      <c r="H36" s="46"/>
      <c r="I36" s="46"/>
      <c r="J36" s="50">
        <v>9.0899999999999995E-2</v>
      </c>
    </row>
    <row r="37" spans="1:10" x14ac:dyDescent="0.25">
      <c r="A37" s="30"/>
      <c r="J37" s="51"/>
    </row>
    <row r="38" spans="1:10" x14ac:dyDescent="0.25">
      <c r="A38" s="49" t="s">
        <v>34</v>
      </c>
      <c r="B38" s="46"/>
      <c r="C38" s="46"/>
      <c r="D38" s="46"/>
      <c r="E38" s="46"/>
      <c r="F38" s="46"/>
      <c r="G38" s="46"/>
      <c r="H38" s="46"/>
      <c r="I38" s="46"/>
      <c r="J38" s="50">
        <v>0.1212</v>
      </c>
    </row>
    <row r="39" spans="1:10" x14ac:dyDescent="0.25">
      <c r="A39" s="30"/>
      <c r="J39" s="51"/>
    </row>
    <row r="40" spans="1:10" x14ac:dyDescent="0.25">
      <c r="A40" s="49" t="s">
        <v>35</v>
      </c>
      <c r="B40" s="46"/>
      <c r="C40" s="46"/>
      <c r="D40" s="46"/>
      <c r="E40" s="46"/>
      <c r="F40" s="46"/>
      <c r="G40" s="46"/>
      <c r="H40" s="46"/>
      <c r="I40" s="46"/>
      <c r="J40" s="52">
        <v>9.7000000000000003E-2</v>
      </c>
    </row>
    <row r="41" spans="1:10" x14ac:dyDescent="0.25">
      <c r="A41" s="30"/>
      <c r="J41" s="18"/>
    </row>
    <row r="42" spans="1:10" x14ac:dyDescent="0.25">
      <c r="A42" s="49" t="s">
        <v>36</v>
      </c>
      <c r="B42" s="46"/>
      <c r="C42" s="46"/>
      <c r="D42" s="46"/>
      <c r="E42" s="46"/>
      <c r="F42" s="46"/>
      <c r="G42" s="46"/>
      <c r="H42" s="46"/>
      <c r="I42" s="46"/>
      <c r="J42" s="50">
        <f>SUM(J34:J41)</f>
        <v>0.59619999999999995</v>
      </c>
    </row>
    <row r="44" spans="1:10" x14ac:dyDescent="0.25">
      <c r="B44" s="146" t="s">
        <v>37</v>
      </c>
      <c r="C44" s="53"/>
      <c r="D44" s="53"/>
      <c r="E44" s="53"/>
    </row>
    <row r="45" spans="1:10" x14ac:dyDescent="0.25">
      <c r="B45" s="147" t="s">
        <v>38</v>
      </c>
    </row>
    <row r="46" spans="1:10" x14ac:dyDescent="0.25">
      <c r="B46" s="148" t="s">
        <v>39</v>
      </c>
    </row>
    <row r="47" spans="1:10" x14ac:dyDescent="0.25">
      <c r="B47" s="148" t="s">
        <v>40</v>
      </c>
    </row>
    <row r="48" spans="1:10" x14ac:dyDescent="0.25">
      <c r="B48" s="148" t="s">
        <v>41</v>
      </c>
    </row>
    <row r="49" spans="2:2" x14ac:dyDescent="0.25">
      <c r="B49" s="148" t="s">
        <v>42</v>
      </c>
    </row>
    <row r="50" spans="2:2" x14ac:dyDescent="0.25">
      <c r="B50" s="148" t="s">
        <v>43</v>
      </c>
    </row>
    <row r="51" spans="2:2" ht="15" customHeight="1" x14ac:dyDescent="0.25">
      <c r="B51" s="148" t="s">
        <v>44</v>
      </c>
    </row>
  </sheetData>
  <mergeCells count="8">
    <mergeCell ref="A32:J32"/>
    <mergeCell ref="A1:H1"/>
    <mergeCell ref="A3:J3"/>
    <mergeCell ref="A9:J9"/>
    <mergeCell ref="A16:J16"/>
    <mergeCell ref="A17:J17"/>
    <mergeCell ref="D27:F27"/>
    <mergeCell ref="G27:I27"/>
  </mergeCells>
  <hyperlinks>
    <hyperlink ref="H14" r:id="rId1" xr:uid="{E2320FF6-C0DA-4BF3-93AD-A8227FDA648E}"/>
    <hyperlink ref="H13" r:id="rId2" display="operation.rio@bpabr.com.br" xr:uid="{90003504-B674-4541-9F03-831C718BAA59}"/>
  </hyperlink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3A78F-3D36-408E-BA2E-1DAC25A498B9}">
  <dimension ref="A1:K48"/>
  <sheetViews>
    <sheetView zoomScale="160" zoomScaleNormal="160" workbookViewId="0">
      <selection activeCell="K20" sqref="K20"/>
    </sheetView>
  </sheetViews>
  <sheetFormatPr defaultRowHeight="15" x14ac:dyDescent="0.25"/>
  <cols>
    <col min="11" max="11" width="10.85546875" bestFit="1" customWidth="1"/>
  </cols>
  <sheetData>
    <row r="1" spans="1:11" s="59" customFormat="1" x14ac:dyDescent="0.25">
      <c r="A1" s="54" t="s">
        <v>45</v>
      </c>
      <c r="B1" s="55"/>
      <c r="C1" s="55"/>
      <c r="D1" s="55"/>
      <c r="E1" s="55"/>
      <c r="F1" s="55"/>
      <c r="G1" s="55"/>
      <c r="H1" s="55"/>
      <c r="I1" s="56"/>
      <c r="J1" s="57" t="s">
        <v>46</v>
      </c>
      <c r="K1" s="58">
        <f>Planilha1!J1</f>
        <v>2900</v>
      </c>
    </row>
    <row r="2" spans="1:11" s="59" customFormat="1" x14ac:dyDescent="0.25">
      <c r="A2" s="60"/>
      <c r="B2" s="61"/>
      <c r="C2" s="61"/>
      <c r="D2" s="61"/>
      <c r="E2" s="61"/>
      <c r="F2" s="61"/>
      <c r="G2" s="61"/>
      <c r="H2" s="61"/>
      <c r="I2" s="62"/>
      <c r="J2" s="63" t="s">
        <v>47</v>
      </c>
      <c r="K2" s="64">
        <v>46266</v>
      </c>
    </row>
    <row r="3" spans="1:11" s="59" customFormat="1" x14ac:dyDescent="0.25">
      <c r="A3" s="65"/>
      <c r="K3" s="66"/>
    </row>
    <row r="4" spans="1:11" s="59" customFormat="1" x14ac:dyDescent="0.25">
      <c r="A4" s="67" t="s">
        <v>48</v>
      </c>
      <c r="B4" s="68"/>
      <c r="C4" s="68"/>
      <c r="D4" s="68"/>
      <c r="E4" s="68"/>
      <c r="F4" s="68"/>
      <c r="G4" s="68"/>
      <c r="H4" s="68"/>
      <c r="I4" s="68"/>
      <c r="J4" s="68"/>
      <c r="K4" s="69"/>
    </row>
    <row r="5" spans="1:11" s="59" customFormat="1" x14ac:dyDescent="0.25">
      <c r="A5" s="70" t="s">
        <v>49</v>
      </c>
      <c r="B5" s="71"/>
      <c r="C5" s="72" t="s">
        <v>39</v>
      </c>
      <c r="D5" s="72"/>
      <c r="E5" s="72"/>
      <c r="F5" s="72"/>
      <c r="G5" s="72"/>
      <c r="H5" s="72"/>
      <c r="I5" s="71"/>
      <c r="J5" s="71"/>
      <c r="K5" s="73"/>
    </row>
    <row r="6" spans="1:11" s="59" customFormat="1" x14ac:dyDescent="0.25">
      <c r="A6" s="74" t="s">
        <v>50</v>
      </c>
      <c r="C6" s="59" t="s">
        <v>51</v>
      </c>
      <c r="G6" s="75" t="s">
        <v>52</v>
      </c>
      <c r="I6" s="76"/>
      <c r="J6" s="76"/>
      <c r="K6" s="77"/>
    </row>
    <row r="7" spans="1:11" s="59" customFormat="1" x14ac:dyDescent="0.25">
      <c r="A7" s="74" t="s">
        <v>53</v>
      </c>
      <c r="C7" s="59" t="s">
        <v>54</v>
      </c>
      <c r="G7" s="75"/>
      <c r="I7" s="75"/>
      <c r="J7" s="75"/>
      <c r="K7" s="78"/>
    </row>
    <row r="8" spans="1:11" s="59" customFormat="1" x14ac:dyDescent="0.25">
      <c r="A8" s="74" t="s">
        <v>55</v>
      </c>
      <c r="C8" s="59" t="s">
        <v>56</v>
      </c>
      <c r="D8" s="75"/>
      <c r="G8" s="75" t="s">
        <v>57</v>
      </c>
      <c r="I8" s="59" t="s">
        <v>58</v>
      </c>
      <c r="K8" s="79"/>
    </row>
    <row r="9" spans="1:11" s="59" customFormat="1" x14ac:dyDescent="0.25">
      <c r="A9" s="63" t="s">
        <v>59</v>
      </c>
      <c r="B9" s="80"/>
      <c r="C9" s="80" t="s">
        <v>60</v>
      </c>
      <c r="D9" s="80"/>
      <c r="E9" s="80"/>
      <c r="F9" s="80"/>
      <c r="G9" s="81" t="s">
        <v>61</v>
      </c>
      <c r="H9" s="80"/>
      <c r="I9" s="82" t="s">
        <v>62</v>
      </c>
      <c r="J9" s="80"/>
      <c r="K9" s="83"/>
    </row>
    <row r="10" spans="1:11" s="59" customFormat="1" x14ac:dyDescent="0.25">
      <c r="A10" s="70"/>
      <c r="B10" s="71"/>
      <c r="C10" s="71"/>
      <c r="D10" s="71"/>
      <c r="E10" s="71"/>
      <c r="F10" s="71"/>
      <c r="G10" s="71"/>
      <c r="H10" s="71"/>
      <c r="I10" s="71"/>
      <c r="J10" s="71"/>
      <c r="K10" s="73"/>
    </row>
    <row r="11" spans="1:11" s="59" customFormat="1" x14ac:dyDescent="0.25">
      <c r="A11" s="67" t="s">
        <v>63</v>
      </c>
      <c r="B11" s="68"/>
      <c r="C11" s="68"/>
      <c r="D11" s="68"/>
      <c r="E11" s="68"/>
      <c r="F11" s="68"/>
      <c r="G11" s="68"/>
      <c r="H11" s="68"/>
      <c r="I11" s="68"/>
      <c r="J11" s="68"/>
      <c r="K11" s="69"/>
    </row>
    <row r="12" spans="1:11" s="59" customFormat="1" x14ac:dyDescent="0.25">
      <c r="A12" s="70" t="s">
        <v>49</v>
      </c>
      <c r="B12" s="71"/>
      <c r="C12" s="72" t="str">
        <f>Planilha1!D11</f>
        <v>NORTH STAR SUDESTE SERVICOS MARITIMOS LTDA</v>
      </c>
      <c r="D12" s="72"/>
      <c r="E12" s="72"/>
      <c r="F12" s="72"/>
      <c r="G12" s="72"/>
      <c r="H12" s="72"/>
      <c r="I12" s="71"/>
      <c r="J12" s="71"/>
      <c r="K12" s="73"/>
    </row>
    <row r="13" spans="1:11" s="59" customFormat="1" x14ac:dyDescent="0.25">
      <c r="A13" s="74" t="s">
        <v>50</v>
      </c>
      <c r="C13" s="59" t="str">
        <f>Planilha1!D10</f>
        <v>17.033.530/0004-81</v>
      </c>
      <c r="G13" s="75" t="s">
        <v>52</v>
      </c>
      <c r="I13" s="84">
        <f>Planilha1!J10</f>
        <v>0</v>
      </c>
      <c r="J13" s="76"/>
      <c r="K13" s="77"/>
    </row>
    <row r="14" spans="1:11" s="59" customFormat="1" x14ac:dyDescent="0.25">
      <c r="A14" s="74" t="s">
        <v>53</v>
      </c>
      <c r="C14" s="59" t="str">
        <f>Planilha1!D12</f>
        <v>RUA DO PASSEIO, 387 SAL 1501/1504 - CENTRO</v>
      </c>
      <c r="G14" s="75"/>
      <c r="I14" s="75"/>
      <c r="J14" s="75"/>
      <c r="K14" s="78"/>
    </row>
    <row r="15" spans="1:11" s="59" customFormat="1" x14ac:dyDescent="0.25">
      <c r="A15" s="74" t="s">
        <v>55</v>
      </c>
      <c r="C15" s="85" t="str">
        <f>Planilha1!E13</f>
        <v>20.021-290</v>
      </c>
      <c r="D15" s="75"/>
      <c r="G15" s="75" t="s">
        <v>57</v>
      </c>
      <c r="I15" s="59" t="str">
        <f>Planilha1!H13</f>
        <v>RIO DE JANEIRO/RJ</v>
      </c>
      <c r="K15" s="79"/>
    </row>
    <row r="16" spans="1:11" s="59" customFormat="1" x14ac:dyDescent="0.25">
      <c r="A16" s="63" t="s">
        <v>59</v>
      </c>
      <c r="B16" s="80"/>
      <c r="C16" s="80">
        <f>Planilha1!E14</f>
        <v>0</v>
      </c>
      <c r="D16" s="80"/>
      <c r="E16" s="80"/>
      <c r="F16" s="80"/>
      <c r="G16" s="81" t="s">
        <v>61</v>
      </c>
      <c r="H16" s="80"/>
      <c r="I16" s="86" t="str">
        <f>Planilha1!H14</f>
        <v>rio@nsshipping.com.br</v>
      </c>
      <c r="J16" s="80"/>
      <c r="K16" s="83"/>
    </row>
    <row r="17" spans="1:11" s="59" customFormat="1" x14ac:dyDescent="0.25">
      <c r="A17" s="87"/>
      <c r="B17" s="88"/>
      <c r="K17" s="79"/>
    </row>
    <row r="18" spans="1:11" s="75" customFormat="1" x14ac:dyDescent="0.25">
      <c r="A18" s="89" t="s">
        <v>64</v>
      </c>
      <c r="B18" s="90"/>
      <c r="C18" s="90"/>
      <c r="D18" s="90"/>
      <c r="E18" s="90"/>
      <c r="F18" s="90"/>
      <c r="G18" s="90"/>
      <c r="H18" s="90"/>
      <c r="I18" s="90"/>
      <c r="J18" s="91"/>
      <c r="K18" s="92" t="s">
        <v>65</v>
      </c>
    </row>
    <row r="19" spans="1:11" s="59" customFormat="1" x14ac:dyDescent="0.25">
      <c r="A19" s="65" t="s">
        <v>66</v>
      </c>
      <c r="J19" s="79"/>
      <c r="K19" s="93">
        <f>Planilha1!J25</f>
        <v>2059.2081378000003</v>
      </c>
    </row>
    <row r="20" spans="1:11" s="59" customFormat="1" x14ac:dyDescent="0.25">
      <c r="A20" s="65" t="s">
        <v>67</v>
      </c>
      <c r="B20" s="59" t="str">
        <f>Planilha1!D5</f>
        <v>BANGLAR ARJAN</v>
      </c>
      <c r="C20" s="94"/>
      <c r="J20" s="79"/>
      <c r="K20" s="79"/>
    </row>
    <row r="21" spans="1:11" s="59" customFormat="1" x14ac:dyDescent="0.25">
      <c r="A21" s="65" t="s">
        <v>68</v>
      </c>
      <c r="B21" s="59" t="str">
        <f>Planilha1!D6</f>
        <v>RIO DE JANEIRO</v>
      </c>
      <c r="E21" s="59" t="str">
        <f>Planilha1!D7</f>
        <v>AO LARGO</v>
      </c>
      <c r="J21" s="79"/>
      <c r="K21" s="79"/>
    </row>
    <row r="22" spans="1:11" s="59" customFormat="1" x14ac:dyDescent="0.25">
      <c r="A22" s="65"/>
      <c r="D22" s="95"/>
      <c r="E22" s="95"/>
      <c r="J22" s="79"/>
      <c r="K22" s="79"/>
    </row>
    <row r="23" spans="1:11" s="59" customFormat="1" x14ac:dyDescent="0.25">
      <c r="A23" s="65"/>
      <c r="J23" s="79"/>
      <c r="K23" s="96"/>
    </row>
    <row r="24" spans="1:11" s="59" customFormat="1" x14ac:dyDescent="0.25">
      <c r="A24" s="65"/>
      <c r="J24" s="79"/>
      <c r="K24" s="97"/>
    </row>
    <row r="25" spans="1:11" s="59" customFormat="1" x14ac:dyDescent="0.25">
      <c r="A25" s="65"/>
      <c r="J25" s="79"/>
      <c r="K25" s="97"/>
    </row>
    <row r="26" spans="1:11" s="59" customFormat="1" x14ac:dyDescent="0.25">
      <c r="A26" s="65"/>
      <c r="J26" s="79"/>
      <c r="K26" s="79"/>
    </row>
    <row r="27" spans="1:11" s="59" customFormat="1" x14ac:dyDescent="0.25">
      <c r="A27" s="65"/>
      <c r="J27" s="79"/>
      <c r="K27" s="79"/>
    </row>
    <row r="28" spans="1:11" s="59" customFormat="1" x14ac:dyDescent="0.25">
      <c r="A28" s="65"/>
      <c r="J28" s="79"/>
      <c r="K28" s="79"/>
    </row>
    <row r="29" spans="1:11" s="59" customFormat="1" x14ac:dyDescent="0.25">
      <c r="A29" s="65"/>
      <c r="J29" s="79"/>
      <c r="K29" s="79"/>
    </row>
    <row r="30" spans="1:11" s="59" customFormat="1" x14ac:dyDescent="0.25">
      <c r="A30" s="65"/>
      <c r="J30" s="79"/>
      <c r="K30" s="79"/>
    </row>
    <row r="31" spans="1:11" s="59" customFormat="1" x14ac:dyDescent="0.25">
      <c r="A31" s="65"/>
      <c r="J31" s="79"/>
      <c r="K31" s="79"/>
    </row>
    <row r="32" spans="1:11" s="59" customFormat="1" x14ac:dyDescent="0.25">
      <c r="A32" s="65"/>
      <c r="J32" s="79"/>
      <c r="K32" s="79"/>
    </row>
    <row r="33" spans="1:11" s="59" customFormat="1" x14ac:dyDescent="0.25">
      <c r="A33" s="65"/>
      <c r="J33" s="79"/>
      <c r="K33" s="79"/>
    </row>
    <row r="34" spans="1:11" s="59" customFormat="1" x14ac:dyDescent="0.25">
      <c r="A34" s="65"/>
      <c r="J34" s="79"/>
      <c r="K34" s="79"/>
    </row>
    <row r="35" spans="1:11" s="59" customFormat="1" x14ac:dyDescent="0.25">
      <c r="A35" s="65"/>
      <c r="J35" s="79"/>
      <c r="K35" s="79"/>
    </row>
    <row r="36" spans="1:11" s="59" customFormat="1" x14ac:dyDescent="0.25">
      <c r="A36" s="65"/>
      <c r="J36" s="79"/>
      <c r="K36" s="79"/>
    </row>
    <row r="37" spans="1:11" s="59" customFormat="1" x14ac:dyDescent="0.25">
      <c r="A37" s="65"/>
      <c r="J37" s="79"/>
      <c r="K37" s="79"/>
    </row>
    <row r="38" spans="1:11" s="59" customFormat="1" x14ac:dyDescent="0.25">
      <c r="A38" s="65"/>
      <c r="J38" s="79"/>
      <c r="K38" s="79"/>
    </row>
    <row r="39" spans="1:11" s="75" customFormat="1" x14ac:dyDescent="0.25">
      <c r="A39" s="89" t="s">
        <v>69</v>
      </c>
      <c r="B39" s="90"/>
      <c r="C39" s="90"/>
      <c r="D39" s="90"/>
      <c r="E39" s="90"/>
      <c r="F39" s="90"/>
      <c r="G39" s="90"/>
      <c r="H39" s="90"/>
      <c r="I39" s="90"/>
      <c r="J39" s="91"/>
      <c r="K39" s="98">
        <f>SUM(K19:K38)</f>
        <v>2059.2081378000003</v>
      </c>
    </row>
    <row r="40" spans="1:11" s="75" customFormat="1" x14ac:dyDescent="0.25">
      <c r="A40" s="89" t="s">
        <v>70</v>
      </c>
      <c r="B40" s="90"/>
      <c r="C40" s="90"/>
      <c r="D40" s="90"/>
      <c r="E40" s="90"/>
      <c r="F40" s="90"/>
      <c r="G40" s="90"/>
      <c r="H40" s="90"/>
      <c r="I40" s="90"/>
      <c r="J40" s="90"/>
      <c r="K40" s="99">
        <v>0</v>
      </c>
    </row>
    <row r="41" spans="1:11" s="75" customFormat="1" x14ac:dyDescent="0.25">
      <c r="A41" s="89" t="s">
        <v>71</v>
      </c>
      <c r="B41" s="90"/>
      <c r="C41" s="90"/>
      <c r="D41" s="68"/>
      <c r="E41" s="68"/>
      <c r="F41" s="100"/>
      <c r="G41" s="100"/>
      <c r="H41" s="68"/>
      <c r="I41" s="68"/>
      <c r="J41" s="90"/>
      <c r="K41" s="99">
        <v>0</v>
      </c>
    </row>
    <row r="42" spans="1:11" s="59" customFormat="1" x14ac:dyDescent="0.25">
      <c r="A42" s="101" t="s">
        <v>72</v>
      </c>
      <c r="B42" s="102"/>
      <c r="C42" s="102"/>
      <c r="D42" s="103"/>
      <c r="E42" s="103"/>
      <c r="F42" s="104"/>
      <c r="G42" s="104"/>
      <c r="H42" s="103"/>
      <c r="I42" s="103"/>
      <c r="J42" s="105"/>
      <c r="K42" s="99">
        <f>SUM(K39:K41)</f>
        <v>2059.2081378000003</v>
      </c>
    </row>
    <row r="43" spans="1:11" s="59" customFormat="1" x14ac:dyDescent="0.25">
      <c r="A43" s="65"/>
      <c r="K43" s="79"/>
    </row>
    <row r="44" spans="1:11" s="59" customFormat="1" x14ac:dyDescent="0.25">
      <c r="A44" s="67" t="s">
        <v>73</v>
      </c>
      <c r="B44" s="68"/>
      <c r="C44" s="68"/>
      <c r="D44" s="68"/>
      <c r="E44" s="68"/>
      <c r="F44" s="68"/>
      <c r="G44" s="68"/>
      <c r="H44" s="68"/>
      <c r="I44" s="68"/>
      <c r="J44" s="68"/>
      <c r="K44" s="69"/>
    </row>
    <row r="45" spans="1:11" s="59" customFormat="1" x14ac:dyDescent="0.25">
      <c r="A45" s="65"/>
      <c r="E45" s="72"/>
      <c r="F45" s="72"/>
      <c r="G45" s="72"/>
      <c r="H45" s="72"/>
      <c r="I45" s="72"/>
      <c r="J45" s="72"/>
      <c r="K45" s="106"/>
    </row>
    <row r="46" spans="1:11" s="59" customFormat="1" x14ac:dyDescent="0.25">
      <c r="A46" s="65"/>
      <c r="C46" s="107"/>
      <c r="K46" s="79"/>
    </row>
    <row r="47" spans="1:11" s="59" customFormat="1" x14ac:dyDescent="0.25">
      <c r="A47" s="65"/>
      <c r="F47" s="108"/>
      <c r="G47" s="108"/>
      <c r="H47" s="108"/>
      <c r="I47" s="108"/>
      <c r="J47" s="108"/>
      <c r="K47" s="79"/>
    </row>
    <row r="48" spans="1:11" s="59" customFormat="1" x14ac:dyDescent="0.25">
      <c r="A48" s="109"/>
      <c r="B48" s="80"/>
      <c r="C48" s="80"/>
      <c r="D48" s="80"/>
      <c r="E48" s="80"/>
      <c r="F48" s="80"/>
      <c r="G48" s="80"/>
      <c r="H48" s="80"/>
      <c r="I48" s="80"/>
      <c r="J48" s="80"/>
      <c r="K48" s="83"/>
    </row>
  </sheetData>
  <mergeCells count="10">
    <mergeCell ref="A42:C42"/>
    <mergeCell ref="D42:E42"/>
    <mergeCell ref="H42:I42"/>
    <mergeCell ref="A44:K44"/>
    <mergeCell ref="A1:I2"/>
    <mergeCell ref="A4:K4"/>
    <mergeCell ref="A11:K11"/>
    <mergeCell ref="D22:E22"/>
    <mergeCell ref="D41:E41"/>
    <mergeCell ref="H41:I41"/>
  </mergeCells>
  <hyperlinks>
    <hyperlink ref="I9" r:id="rId1" xr:uid="{A324FBD0-DC5C-41DD-989F-AA4A839791D1}"/>
  </hyperlink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8A765-4502-44D7-B903-89148E8F51DE}">
  <dimension ref="A1:K51"/>
  <sheetViews>
    <sheetView tabSelected="1" topLeftCell="B34" zoomScale="170" zoomScaleNormal="170" workbookViewId="0">
      <selection activeCell="H32" sqref="H32"/>
    </sheetView>
  </sheetViews>
  <sheetFormatPr defaultRowHeight="15" x14ac:dyDescent="0.25"/>
  <cols>
    <col min="11" max="11" width="10.85546875" bestFit="1" customWidth="1"/>
  </cols>
  <sheetData>
    <row r="1" spans="1:11" x14ac:dyDescent="0.25">
      <c r="A1" s="24" t="s">
        <v>39</v>
      </c>
      <c r="B1" s="25"/>
      <c r="C1" s="25"/>
      <c r="D1" s="25"/>
      <c r="E1" s="25"/>
      <c r="F1" s="25"/>
      <c r="G1" s="25"/>
      <c r="H1" s="25"/>
      <c r="I1" s="110" t="s">
        <v>74</v>
      </c>
      <c r="J1" s="111"/>
      <c r="K1" s="112"/>
    </row>
    <row r="2" spans="1:11" x14ac:dyDescent="0.25">
      <c r="A2" s="113" t="s">
        <v>75</v>
      </c>
      <c r="B2" s="38"/>
      <c r="C2" s="38"/>
      <c r="D2" s="38"/>
      <c r="E2" s="38"/>
      <c r="F2" s="38"/>
      <c r="G2" s="38"/>
      <c r="H2" s="38"/>
      <c r="I2" s="114">
        <f>Planilha1!J1</f>
        <v>2900</v>
      </c>
      <c r="J2" s="115"/>
      <c r="K2" s="116"/>
    </row>
    <row r="3" spans="1:11" x14ac:dyDescent="0.25">
      <c r="A3" s="113" t="s">
        <v>76</v>
      </c>
      <c r="B3" s="38"/>
      <c r="C3" s="38"/>
      <c r="D3" s="38"/>
      <c r="E3" s="38"/>
      <c r="F3" s="38"/>
      <c r="G3" s="38"/>
      <c r="H3" s="38"/>
      <c r="I3" s="114" t="s">
        <v>77</v>
      </c>
      <c r="J3" s="115"/>
      <c r="K3" s="116"/>
    </row>
    <row r="4" spans="1:11" x14ac:dyDescent="0.25">
      <c r="A4" s="117" t="s">
        <v>78</v>
      </c>
      <c r="B4" s="37"/>
      <c r="C4" s="37"/>
      <c r="D4" s="37"/>
      <c r="E4" s="37"/>
      <c r="F4" s="37"/>
      <c r="G4" s="37"/>
      <c r="H4" s="37"/>
      <c r="I4" s="118" t="s">
        <v>79</v>
      </c>
      <c r="J4" s="119"/>
      <c r="K4" s="120">
        <f>Planilha2!K2</f>
        <v>46266</v>
      </c>
    </row>
    <row r="5" spans="1:11" ht="3" customHeight="1" x14ac:dyDescent="0.25">
      <c r="A5" s="30"/>
      <c r="J5" s="121"/>
      <c r="K5" s="18" t="s">
        <v>80</v>
      </c>
    </row>
    <row r="6" spans="1:11" x14ac:dyDescent="0.25">
      <c r="A6" s="122" t="s">
        <v>81</v>
      </c>
      <c r="B6" s="123"/>
      <c r="C6" s="124" t="str">
        <f>Planilha1!D11</f>
        <v>NORTH STAR SUDESTE SERVICOS MARITIMOS LTDA</v>
      </c>
      <c r="D6" s="124"/>
      <c r="E6" s="124"/>
      <c r="F6" s="124"/>
      <c r="G6" s="124"/>
      <c r="H6" s="124"/>
      <c r="I6" s="123"/>
      <c r="J6" s="124"/>
      <c r="K6" s="125"/>
    </row>
    <row r="7" spans="1:11" x14ac:dyDescent="0.25">
      <c r="A7" s="9" t="s">
        <v>82</v>
      </c>
      <c r="B7" s="16"/>
      <c r="C7" t="str">
        <f>Planilha1!D12</f>
        <v>RUA DO PASSEIO, 387 SAL 1501/1504 - CENTRO</v>
      </c>
      <c r="K7" s="18"/>
    </row>
    <row r="8" spans="1:11" x14ac:dyDescent="0.25">
      <c r="A8" s="9" t="s">
        <v>83</v>
      </c>
      <c r="B8" s="16"/>
      <c r="C8" t="str">
        <f>Planilha1!H13</f>
        <v>RIO DE JANEIRO/RJ</v>
      </c>
      <c r="I8" s="16" t="s">
        <v>84</v>
      </c>
      <c r="J8" t="str">
        <f>Planilha1!E13</f>
        <v>20.021-290</v>
      </c>
      <c r="K8" s="18"/>
    </row>
    <row r="9" spans="1:11" x14ac:dyDescent="0.25">
      <c r="A9" s="9" t="s">
        <v>85</v>
      </c>
      <c r="B9" s="16"/>
      <c r="C9" t="str">
        <f>C8</f>
        <v>RIO DE JANEIRO/RJ</v>
      </c>
      <c r="I9" s="16"/>
      <c r="K9" s="18"/>
    </row>
    <row r="10" spans="1:11" x14ac:dyDescent="0.25">
      <c r="A10" s="14" t="s">
        <v>50</v>
      </c>
      <c r="B10" s="20"/>
      <c r="C10" s="15" t="str">
        <f>Planilha1!D10</f>
        <v>17.033.530/0004-81</v>
      </c>
      <c r="D10" s="15"/>
      <c r="E10" s="15"/>
      <c r="F10" s="15"/>
      <c r="G10" s="15"/>
      <c r="H10" s="15"/>
      <c r="I10" s="20" t="s">
        <v>86</v>
      </c>
      <c r="J10" s="15"/>
      <c r="K10" s="126">
        <f>Planilha1!J10</f>
        <v>0</v>
      </c>
    </row>
    <row r="11" spans="1:11" ht="3" customHeight="1" x14ac:dyDescent="0.25">
      <c r="A11" s="127"/>
      <c r="B11" s="121"/>
      <c r="K11" s="18"/>
    </row>
    <row r="12" spans="1:11" s="16" customFormat="1" x14ac:dyDescent="0.25">
      <c r="A12" s="128" t="s">
        <v>87</v>
      </c>
      <c r="B12" s="129"/>
      <c r="C12" s="129"/>
      <c r="D12" s="129"/>
      <c r="E12" s="129"/>
      <c r="F12" s="129"/>
      <c r="G12" s="129"/>
      <c r="H12" s="129"/>
      <c r="I12" s="129"/>
      <c r="J12" s="130"/>
      <c r="K12" s="131" t="s">
        <v>65</v>
      </c>
    </row>
    <row r="13" spans="1:11" x14ac:dyDescent="0.25">
      <c r="A13" s="30" t="s">
        <v>88</v>
      </c>
      <c r="J13" s="18"/>
      <c r="K13" s="35">
        <f>Planilha1!J23</f>
        <v>2288.0090420000001</v>
      </c>
    </row>
    <row r="14" spans="1:11" x14ac:dyDescent="0.25">
      <c r="A14" s="30" t="s">
        <v>89</v>
      </c>
      <c r="B14" s="132"/>
      <c r="C14" t="str">
        <f>Planilha1!D5</f>
        <v>BANGLAR ARJAN</v>
      </c>
      <c r="J14" s="18"/>
      <c r="K14" s="35"/>
    </row>
    <row r="15" spans="1:11" x14ac:dyDescent="0.25">
      <c r="A15" s="30" t="s">
        <v>90</v>
      </c>
      <c r="C15" t="str">
        <f>Planilha1!D6</f>
        <v>RIO DE JANEIRO</v>
      </c>
      <c r="E15" t="str">
        <f>Planilha1!D7</f>
        <v>AO LARGO</v>
      </c>
      <c r="J15" s="18"/>
      <c r="K15" s="18"/>
    </row>
    <row r="16" spans="1:11" x14ac:dyDescent="0.25">
      <c r="A16" s="30"/>
      <c r="F16" t="s">
        <v>9</v>
      </c>
      <c r="J16" s="18"/>
      <c r="K16" s="18"/>
    </row>
    <row r="17" spans="1:11" x14ac:dyDescent="0.25">
      <c r="A17" s="30" t="s">
        <v>27</v>
      </c>
      <c r="J17" s="18"/>
      <c r="K17" s="18"/>
    </row>
    <row r="18" spans="1:11" x14ac:dyDescent="0.25">
      <c r="A18" s="65" t="s">
        <v>91</v>
      </c>
      <c r="J18" s="18"/>
      <c r="K18" s="35">
        <f>Planilha1!F28</f>
        <v>49.900000000000006</v>
      </c>
    </row>
    <row r="19" spans="1:11" x14ac:dyDescent="0.25">
      <c r="A19" s="30" t="s">
        <v>92</v>
      </c>
      <c r="J19" s="18"/>
      <c r="K19" s="35">
        <f>Planilha1!I28</f>
        <v>68.45</v>
      </c>
    </row>
    <row r="20" spans="1:11" x14ac:dyDescent="0.25">
      <c r="A20" s="30"/>
      <c r="J20" s="18"/>
      <c r="K20" s="35"/>
    </row>
    <row r="21" spans="1:11" x14ac:dyDescent="0.25">
      <c r="A21" s="65"/>
      <c r="J21" s="18"/>
      <c r="K21" s="18"/>
    </row>
    <row r="22" spans="1:11" x14ac:dyDescent="0.25">
      <c r="A22" s="30"/>
      <c r="J22" s="18"/>
      <c r="K22" s="18"/>
    </row>
    <row r="23" spans="1:11" x14ac:dyDescent="0.25">
      <c r="A23" s="30"/>
      <c r="J23" s="18"/>
      <c r="K23" s="18"/>
    </row>
    <row r="24" spans="1:11" x14ac:dyDescent="0.25">
      <c r="A24" s="30"/>
      <c r="J24" s="18"/>
      <c r="K24" s="18"/>
    </row>
    <row r="25" spans="1:11" x14ac:dyDescent="0.25">
      <c r="A25" s="30"/>
      <c r="J25" s="18"/>
      <c r="K25" s="18"/>
    </row>
    <row r="26" spans="1:11" x14ac:dyDescent="0.25">
      <c r="A26" s="30"/>
      <c r="J26" s="18"/>
      <c r="K26" s="18"/>
    </row>
    <row r="27" spans="1:11" ht="57" customHeight="1" x14ac:dyDescent="0.25">
      <c r="A27" s="30"/>
      <c r="J27" s="18"/>
      <c r="K27" s="18"/>
    </row>
    <row r="28" spans="1:11" x14ac:dyDescent="0.25">
      <c r="A28" s="30"/>
      <c r="J28" s="18"/>
      <c r="K28" s="18"/>
    </row>
    <row r="29" spans="1:11" x14ac:dyDescent="0.25">
      <c r="A29" s="30"/>
      <c r="J29" s="18"/>
      <c r="K29" s="18"/>
    </row>
    <row r="30" spans="1:11" x14ac:dyDescent="0.25">
      <c r="A30" s="30"/>
      <c r="J30" s="18"/>
      <c r="K30" s="18"/>
    </row>
    <row r="31" spans="1:11" x14ac:dyDescent="0.25">
      <c r="A31" s="30"/>
      <c r="J31" s="18"/>
      <c r="K31" s="18"/>
    </row>
    <row r="32" spans="1:11" x14ac:dyDescent="0.25">
      <c r="A32" s="30"/>
      <c r="J32" s="18"/>
      <c r="K32" s="18"/>
    </row>
    <row r="33" spans="1:11" x14ac:dyDescent="0.25">
      <c r="A33" s="30"/>
      <c r="J33" s="18"/>
      <c r="K33" s="18"/>
    </row>
    <row r="34" spans="1:11" x14ac:dyDescent="0.25">
      <c r="A34" s="30"/>
      <c r="J34" s="18"/>
      <c r="K34" s="18"/>
    </row>
    <row r="35" spans="1:11" x14ac:dyDescent="0.25">
      <c r="A35" s="30"/>
      <c r="J35" s="18"/>
      <c r="K35" s="18"/>
    </row>
    <row r="36" spans="1:11" x14ac:dyDescent="0.25">
      <c r="A36" s="30"/>
      <c r="J36" s="18"/>
      <c r="K36" s="18"/>
    </row>
    <row r="37" spans="1:11" s="16" customFormat="1" x14ac:dyDescent="0.25">
      <c r="A37" s="128" t="s">
        <v>72</v>
      </c>
      <c r="B37" s="129"/>
      <c r="C37" s="129"/>
      <c r="D37" s="129"/>
      <c r="E37" s="129"/>
      <c r="F37" s="129"/>
      <c r="G37" s="129"/>
      <c r="H37" s="129"/>
      <c r="I37" s="129"/>
      <c r="J37" s="130"/>
      <c r="K37" s="133">
        <f>SUM(K13:K36)</f>
        <v>2406.359042</v>
      </c>
    </row>
    <row r="38" spans="1:11" s="16" customFormat="1" ht="3" customHeight="1" x14ac:dyDescent="0.25">
      <c r="A38" s="9"/>
      <c r="K38" s="134"/>
    </row>
    <row r="39" spans="1:11" s="16" customFormat="1" x14ac:dyDescent="0.25">
      <c r="A39" s="128" t="s">
        <v>74</v>
      </c>
      <c r="B39" s="129"/>
      <c r="C39" s="128" t="s">
        <v>93</v>
      </c>
      <c r="D39" s="129"/>
      <c r="E39" s="130"/>
      <c r="F39" s="6" t="s">
        <v>94</v>
      </c>
      <c r="G39" s="7"/>
      <c r="H39" s="8"/>
      <c r="I39" s="131"/>
      <c r="J39" s="6" t="s">
        <v>95</v>
      </c>
      <c r="K39" s="8"/>
    </row>
    <row r="40" spans="1:11" x14ac:dyDescent="0.25">
      <c r="A40" s="135">
        <f>I2</f>
        <v>2900</v>
      </c>
      <c r="B40" s="136"/>
      <c r="C40" s="137">
        <f>K37</f>
        <v>2406.359042</v>
      </c>
      <c r="D40" s="138"/>
      <c r="E40" s="139"/>
      <c r="F40" s="137">
        <v>0</v>
      </c>
      <c r="G40" s="138"/>
      <c r="H40" s="139"/>
      <c r="I40" s="140"/>
      <c r="J40" s="141"/>
      <c r="K40" s="142"/>
    </row>
    <row r="41" spans="1:11" x14ac:dyDescent="0.25">
      <c r="A41" s="143"/>
      <c r="B41" s="124"/>
      <c r="C41" s="124"/>
      <c r="D41" s="124"/>
      <c r="E41" s="124"/>
      <c r="F41" s="124"/>
      <c r="G41" s="124"/>
      <c r="H41" s="124"/>
      <c r="I41" s="124"/>
      <c r="J41" s="124"/>
      <c r="K41" s="125"/>
    </row>
    <row r="42" spans="1:11" x14ac:dyDescent="0.25">
      <c r="A42" s="19"/>
      <c r="B42" s="15"/>
      <c r="C42" s="15"/>
      <c r="D42" s="15"/>
      <c r="E42" s="15"/>
      <c r="F42" s="15"/>
      <c r="G42" s="15"/>
      <c r="H42" s="15"/>
      <c r="I42" s="15"/>
      <c r="J42" s="15"/>
      <c r="K42" s="23"/>
    </row>
    <row r="43" spans="1:11" ht="3" customHeight="1" x14ac:dyDescent="0.25">
      <c r="A43" s="30"/>
      <c r="K43" s="18"/>
    </row>
    <row r="44" spans="1:11" x14ac:dyDescent="0.25">
      <c r="A44" s="143" t="s">
        <v>96</v>
      </c>
      <c r="B44" s="124"/>
      <c r="C44" s="124"/>
      <c r="D44" s="124"/>
      <c r="E44" s="124"/>
      <c r="F44" s="124"/>
      <c r="G44" s="124"/>
      <c r="H44" s="124"/>
      <c r="I44" s="124"/>
      <c r="J44" s="124"/>
      <c r="K44" s="125"/>
    </row>
    <row r="45" spans="1:11" x14ac:dyDescent="0.25">
      <c r="A45" s="30"/>
      <c r="K45" s="18"/>
    </row>
    <row r="46" spans="1:11" x14ac:dyDescent="0.25">
      <c r="A46" s="30" t="s">
        <v>97</v>
      </c>
      <c r="E46" s="37"/>
      <c r="F46" s="37"/>
      <c r="G46" s="37"/>
      <c r="H46" s="37"/>
      <c r="I46" s="37"/>
      <c r="J46" s="37"/>
      <c r="K46" s="18"/>
    </row>
    <row r="47" spans="1:11" x14ac:dyDescent="0.25">
      <c r="A47" s="30"/>
      <c r="E47" s="144" t="s">
        <v>98</v>
      </c>
      <c r="F47" s="144"/>
      <c r="G47" s="144"/>
      <c r="H47" s="144"/>
      <c r="I47" s="144"/>
      <c r="J47" s="144"/>
      <c r="K47" s="18"/>
    </row>
    <row r="48" spans="1:11" x14ac:dyDescent="0.25">
      <c r="A48" s="30"/>
      <c r="K48" s="18"/>
    </row>
    <row r="49" spans="1:11" x14ac:dyDescent="0.25">
      <c r="A49" s="30"/>
      <c r="K49" s="18"/>
    </row>
    <row r="50" spans="1:11" x14ac:dyDescent="0.25">
      <c r="A50" s="30"/>
      <c r="E50" s="37"/>
      <c r="F50" s="37"/>
      <c r="G50" s="37"/>
      <c r="H50" s="37"/>
      <c r="I50" s="37"/>
      <c r="J50" s="37"/>
      <c r="K50" s="18"/>
    </row>
    <row r="51" spans="1:11" x14ac:dyDescent="0.25">
      <c r="A51" s="19"/>
      <c r="B51" s="15"/>
      <c r="C51" s="15"/>
      <c r="D51" s="15"/>
      <c r="E51" s="145" t="s">
        <v>99</v>
      </c>
      <c r="F51" s="145"/>
      <c r="G51" s="145"/>
      <c r="H51" s="145"/>
      <c r="I51" s="145"/>
      <c r="J51" s="145"/>
      <c r="K51" s="23"/>
    </row>
  </sheetData>
  <mergeCells count="18">
    <mergeCell ref="E46:J46"/>
    <mergeCell ref="E47:J47"/>
    <mergeCell ref="E50:J50"/>
    <mergeCell ref="E51:J51"/>
    <mergeCell ref="A4:H4"/>
    <mergeCell ref="I4:J4"/>
    <mergeCell ref="F39:H39"/>
    <mergeCell ref="J39:K39"/>
    <mergeCell ref="A40:B40"/>
    <mergeCell ref="C40:E40"/>
    <mergeCell ref="F40:H40"/>
    <mergeCell ref="J40:K40"/>
    <mergeCell ref="A1:H1"/>
    <mergeCell ref="I1:K1"/>
    <mergeCell ref="A2:H2"/>
    <mergeCell ref="I2:K2"/>
    <mergeCell ref="A3:H3"/>
    <mergeCell ref="I3:K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Planilha2</vt:lpstr>
      <vt:lpstr>Planilha3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Adalberto Tatagiba</dc:creator>
  <cp:lastModifiedBy>Adalberto Tatagiba</cp:lastModifiedBy>
  <dcterms:created xsi:type="dcterms:W3CDTF">2026-09-01T21:30:15Z</dcterms:created>
  <dcterms:modified xsi:type="dcterms:W3CDTF">2026-09-01T21:39:55Z</dcterms:modified>
</cp:coreProperties>
</file>