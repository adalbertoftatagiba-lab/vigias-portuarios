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4f7fcf29a9b87/Vigias_2020_2022/"/>
    </mc:Choice>
  </mc:AlternateContent>
  <xr:revisionPtr revIDLastSave="0" documentId="8_{10B0D6F8-7A63-488D-95DB-E8F0FF29F535}" xr6:coauthVersionLast="47" xr6:coauthVersionMax="47" xr10:uidLastSave="{00000000-0000-0000-0000-000000000000}"/>
  <bookViews>
    <workbookView xWindow="-19310" yWindow="-110" windowWidth="19420" windowHeight="10420" xr2:uid="{9CC1E8EB-7C43-4CF3-B889-0961107D18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8" i="1" l="1"/>
  <c r="O28" i="1"/>
  <c r="N28" i="1"/>
  <c r="V25" i="1"/>
  <c r="P25" i="1"/>
  <c r="P28" i="1" s="1"/>
  <c r="D20" i="1"/>
  <c r="E19" i="1"/>
  <c r="E16" i="1"/>
  <c r="E15" i="1"/>
  <c r="E18" i="1" s="1"/>
  <c r="T7" i="1"/>
  <c r="T8" i="1" s="1"/>
  <c r="O15" i="1" s="1"/>
  <c r="K7" i="1"/>
  <c r="K8" i="1" s="1"/>
  <c r="O16" i="1" l="1"/>
  <c r="Q15" i="1"/>
  <c r="P15" i="1"/>
  <c r="O17" i="1"/>
  <c r="O20" i="1" s="1"/>
  <c r="O25" i="1" s="1"/>
  <c r="H15" i="1"/>
  <c r="F15" i="1"/>
  <c r="E17" i="1"/>
  <c r="E20" i="1"/>
  <c r="F19" i="1" l="1"/>
  <c r="F16" i="1"/>
  <c r="F18" i="1"/>
  <c r="G15" i="1"/>
  <c r="F17" i="1"/>
  <c r="F20" i="1" s="1"/>
  <c r="H18" i="1"/>
  <c r="H17" i="1"/>
  <c r="H16" i="1"/>
  <c r="H20" i="1" s="1"/>
  <c r="H19" i="1"/>
  <c r="J15" i="1"/>
  <c r="V15" i="1"/>
  <c r="P16" i="1"/>
  <c r="P18" i="1"/>
  <c r="R15" i="1"/>
  <c r="P17" i="1"/>
  <c r="Q16" i="1"/>
  <c r="S15" i="1"/>
  <c r="Q17" i="1"/>
  <c r="Q20" i="1"/>
  <c r="Q25" i="1" s="1"/>
  <c r="H25" i="1" l="1"/>
  <c r="H28" i="1" s="1"/>
  <c r="F25" i="1"/>
  <c r="F28" i="1" s="1"/>
  <c r="J17" i="1"/>
  <c r="J16" i="1"/>
  <c r="J20" i="1" s="1"/>
  <c r="J18" i="1"/>
  <c r="L15" i="1"/>
  <c r="S16" i="1"/>
  <c r="S20" i="1" s="1"/>
  <c r="S28" i="1" s="1"/>
  <c r="U15" i="1"/>
  <c r="S18" i="1"/>
  <c r="S17" i="1"/>
  <c r="T15" i="1"/>
  <c r="R18" i="1"/>
  <c r="R17" i="1"/>
  <c r="R16" i="1"/>
  <c r="R20" i="1"/>
  <c r="I15" i="1"/>
  <c r="G17" i="1"/>
  <c r="G20" i="1" s="1"/>
  <c r="G18" i="1"/>
  <c r="M15" i="1"/>
  <c r="G16" i="1"/>
  <c r="V17" i="1"/>
  <c r="V16" i="1"/>
  <c r="J25" i="1" l="1"/>
  <c r="J28" i="1"/>
  <c r="G25" i="1"/>
  <c r="G28" i="1" s="1"/>
  <c r="U18" i="1"/>
  <c r="U17" i="1"/>
  <c r="U16" i="1"/>
  <c r="U20" i="1" s="1"/>
  <c r="U28" i="1" s="1"/>
  <c r="L16" i="1"/>
  <c r="L18" i="1"/>
  <c r="L17" i="1"/>
  <c r="L20" i="1" s="1"/>
  <c r="M17" i="1"/>
  <c r="M16" i="1"/>
  <c r="M20" i="1" s="1"/>
  <c r="M18" i="1"/>
  <c r="M19" i="1"/>
  <c r="R25" i="1"/>
  <c r="R28" i="1" s="1"/>
  <c r="K15" i="1"/>
  <c r="I17" i="1"/>
  <c r="I16" i="1"/>
  <c r="I20" i="1" s="1"/>
  <c r="I18" i="1"/>
  <c r="T18" i="1"/>
  <c r="T17" i="1"/>
  <c r="T16" i="1"/>
  <c r="T20" i="1" s="1"/>
  <c r="L25" i="1" l="1"/>
  <c r="L28" i="1" s="1"/>
  <c r="M25" i="1"/>
  <c r="M28" i="1" s="1"/>
  <c r="T25" i="1"/>
  <c r="T28" i="1" s="1"/>
  <c r="I25" i="1"/>
  <c r="I28" i="1" s="1"/>
  <c r="K17" i="1"/>
  <c r="K16" i="1"/>
  <c r="K20" i="1" s="1"/>
  <c r="K18" i="1"/>
  <c r="K25" i="1" l="1"/>
  <c r="K28" i="1"/>
</calcChain>
</file>

<file path=xl/sharedStrings.xml><?xml version="1.0" encoding="utf-8"?>
<sst xmlns="http://schemas.openxmlformats.org/spreadsheetml/2006/main" count="82" uniqueCount="44">
  <si>
    <t xml:space="preserve">Sindicato dos Vigias Portuários do Estado do Rio de Janeiro </t>
  </si>
  <si>
    <t>Tabela de Serviços dos Vigias Portuários - Porto do Forno - Rio e Itaguai/RJ - Maio de 2026</t>
  </si>
  <si>
    <t>Período</t>
  </si>
  <si>
    <t>RJ</t>
  </si>
  <si>
    <t>Itaguai</t>
  </si>
  <si>
    <t>Vigia de Portaló Atracado</t>
  </si>
  <si>
    <t>(R$)</t>
  </si>
  <si>
    <t>Vigia de Portaló Ao Largo</t>
  </si>
  <si>
    <t xml:space="preserve">1° Período Dia </t>
  </si>
  <si>
    <t>07-13</t>
  </si>
  <si>
    <t>08-14</t>
  </si>
  <si>
    <t>Salário Base</t>
  </si>
  <si>
    <t xml:space="preserve">2° Período Dia </t>
  </si>
  <si>
    <t>13-19</t>
  </si>
  <si>
    <t>14-20</t>
  </si>
  <si>
    <t xml:space="preserve">Repouso Semanal Remunerado (18,18%) </t>
  </si>
  <si>
    <t>1° Período Noite</t>
  </si>
  <si>
    <t>19-01</t>
  </si>
  <si>
    <t>20-02</t>
  </si>
  <si>
    <t>Salário Bruto jornada de 6 h - MMO Bruto</t>
  </si>
  <si>
    <t>2° Período Noite</t>
  </si>
  <si>
    <t>01-07</t>
  </si>
  <si>
    <t>02-08</t>
  </si>
  <si>
    <t xml:space="preserve">Salário + Encargos Patronais </t>
  </si>
  <si>
    <t>ATRACADO</t>
  </si>
  <si>
    <t>AO LARGO</t>
  </si>
  <si>
    <t>De 2ª à 6ª Feira</t>
  </si>
  <si>
    <t>Sábado</t>
  </si>
  <si>
    <t>Domingo</t>
  </si>
  <si>
    <t>Feriado</t>
  </si>
  <si>
    <t>DIA</t>
  </si>
  <si>
    <t>NOITE</t>
  </si>
  <si>
    <t>Item</t>
  </si>
  <si>
    <t>(%)</t>
  </si>
  <si>
    <t>Salário Bruto</t>
  </si>
  <si>
    <t>Férias Remunerada</t>
  </si>
  <si>
    <t xml:space="preserve">13º Salário </t>
  </si>
  <si>
    <t xml:space="preserve">FGTS </t>
  </si>
  <si>
    <t>INSS Patronal</t>
  </si>
  <si>
    <t>Total Encargos</t>
  </si>
  <si>
    <t>Vale Transporte</t>
  </si>
  <si>
    <t>Auxílio Refeição</t>
  </si>
  <si>
    <t>Custo Operacional e Administrativo - Sindicato</t>
  </si>
  <si>
    <t>Custo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</si>
</sst>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49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2" fillId="0" borderId="0" xfId="0" applyFont="1"/>
    <xf numFmtId="0" fontId="0" fillId="0" borderId="7" xfId="0" applyBorder="1" applyAlignment="1">
      <alignment horizontal="center"/>
    </xf>
    <xf numFmtId="43" fontId="0" fillId="0" borderId="4" xfId="0" applyNumberFormat="1" applyBorder="1"/>
    <xf numFmtId="49" fontId="0" fillId="0" borderId="0" xfId="0" applyNumberFormat="1"/>
    <xf numFmtId="43" fontId="0" fillId="0" borderId="9" xfId="0" applyNumberFormat="1" applyBorder="1"/>
    <xf numFmtId="0" fontId="0" fillId="0" borderId="10" xfId="0" applyBorder="1"/>
    <xf numFmtId="0" fontId="0" fillId="0" borderId="11" xfId="0" applyBorder="1"/>
    <xf numFmtId="49" fontId="0" fillId="0" borderId="10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0" fontId="0" fillId="0" borderId="0" xfId="0" applyNumberFormat="1"/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5" xfId="0" applyFont="1" applyBorder="1"/>
    <xf numFmtId="0" fontId="0" fillId="0" borderId="12" xfId="0" applyBorder="1"/>
    <xf numFmtId="10" fontId="0" fillId="0" borderId="5" xfId="0" applyNumberFormat="1" applyBorder="1"/>
    <xf numFmtId="43" fontId="0" fillId="0" borderId="7" xfId="0" applyNumberFormat="1" applyBorder="1" applyAlignment="1">
      <alignment horizontal="right"/>
    </xf>
    <xf numFmtId="43" fontId="0" fillId="0" borderId="8" xfId="0" applyNumberFormat="1" applyBorder="1" applyAlignment="1">
      <alignment horizontal="right"/>
    </xf>
    <xf numFmtId="43" fontId="0" fillId="0" borderId="0" xfId="0" applyNumberFormat="1" applyAlignment="1">
      <alignment horizontal="right"/>
    </xf>
    <xf numFmtId="43" fontId="0" fillId="0" borderId="5" xfId="0" applyNumberFormat="1" applyBorder="1" applyAlignment="1">
      <alignment horizontal="right"/>
    </xf>
    <xf numFmtId="10" fontId="0" fillId="0" borderId="4" xfId="0" applyNumberFormat="1" applyBorder="1"/>
    <xf numFmtId="10" fontId="0" fillId="0" borderId="8" xfId="0" applyNumberFormat="1" applyBorder="1"/>
    <xf numFmtId="10" fontId="0" fillId="0" borderId="4" xfId="1" applyNumberFormat="1" applyFont="1" applyBorder="1"/>
    <xf numFmtId="43" fontId="2" fillId="0" borderId="4" xfId="0" applyNumberFormat="1" applyFont="1" applyBorder="1" applyAlignment="1">
      <alignment horizontal="right"/>
    </xf>
    <xf numFmtId="43" fontId="2" fillId="0" borderId="8" xfId="0" applyNumberFormat="1" applyFont="1" applyBorder="1" applyAlignment="1">
      <alignment horizontal="right"/>
    </xf>
    <xf numFmtId="43" fontId="0" fillId="0" borderId="14" xfId="0" applyNumberFormat="1" applyBorder="1" applyAlignment="1">
      <alignment horizontal="right"/>
    </xf>
    <xf numFmtId="0" fontId="0" fillId="0" borderId="3" xfId="0" applyBorder="1"/>
    <xf numFmtId="43" fontId="0" fillId="0" borderId="1" xfId="0" applyNumberFormat="1" applyBorder="1" applyAlignment="1">
      <alignment horizontal="right"/>
    </xf>
    <xf numFmtId="43" fontId="0" fillId="0" borderId="4" xfId="0" applyNumberFormat="1" applyBorder="1" applyAlignment="1">
      <alignment horizontal="right"/>
    </xf>
    <xf numFmtId="0" fontId="0" fillId="0" borderId="15" xfId="0" applyBorder="1"/>
    <xf numFmtId="43" fontId="0" fillId="0" borderId="10" xfId="0" applyNumberFormat="1" applyBorder="1" applyAlignment="1">
      <alignment horizontal="right"/>
    </xf>
    <xf numFmtId="43" fontId="0" fillId="0" borderId="9" xfId="0" applyNumberFormat="1" applyBorder="1" applyAlignment="1">
      <alignment horizontal="right"/>
    </xf>
    <xf numFmtId="0" fontId="2" fillId="0" borderId="4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/>
    </xf>
    <xf numFmtId="10" fontId="2" fillId="0" borderId="0" xfId="0" applyNumberFormat="1" applyFont="1"/>
    <xf numFmtId="43" fontId="2" fillId="0" borderId="4" xfId="0" applyNumberFormat="1" applyFont="1" applyBorder="1" applyAlignment="1">
      <alignment horizontal="right" vertical="center"/>
    </xf>
    <xf numFmtId="43" fontId="2" fillId="0" borderId="8" xfId="0" applyNumberFormat="1" applyFont="1" applyBorder="1" applyAlignment="1">
      <alignment horizontal="right" vertical="center"/>
    </xf>
    <xf numFmtId="0" fontId="2" fillId="0" borderId="11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F36D-5F3C-4278-99B7-04225586E487}">
  <dimension ref="A1:V28"/>
  <sheetViews>
    <sheetView tabSelected="1" workbookViewId="0">
      <selection activeCell="I31" sqref="I31"/>
    </sheetView>
  </sheetViews>
  <sheetFormatPr defaultRowHeight="15" x14ac:dyDescent="0.25"/>
  <cols>
    <col min="1" max="1" width="7" customWidth="1"/>
    <col min="2" max="2" width="7.5703125" customWidth="1"/>
    <col min="3" max="3" width="7.7109375" customWidth="1"/>
    <col min="4" max="4" width="8.140625" customWidth="1"/>
    <col min="5" max="5" width="0.140625" customWidth="1"/>
    <col min="6" max="13" width="7.85546875" customWidth="1"/>
    <col min="14" max="14" width="0.42578125" customWidth="1"/>
    <col min="15" max="15" width="7.85546875" customWidth="1"/>
    <col min="16" max="16" width="9.5703125" customWidth="1"/>
    <col min="17" max="17" width="7.85546875" customWidth="1"/>
    <col min="18" max="22" width="9.5703125" customWidth="1"/>
  </cols>
  <sheetData>
    <row r="1" spans="1:22" ht="24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5.0999999999999996" customHeight="1" x14ac:dyDescent="0.25"/>
    <row r="3" spans="1:22" ht="21" x14ac:dyDescent="0.3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4" spans="1:22" ht="5.0999999999999996" customHeight="1" x14ac:dyDescent="0.25"/>
    <row r="5" spans="1:22" ht="15.95" customHeight="1" x14ac:dyDescent="0.25">
      <c r="A5" s="7" t="s">
        <v>2</v>
      </c>
      <c r="B5" s="8"/>
      <c r="C5" s="9" t="s">
        <v>3</v>
      </c>
      <c r="D5" s="10" t="s">
        <v>4</v>
      </c>
      <c r="F5" s="11" t="s">
        <v>5</v>
      </c>
      <c r="G5" s="12"/>
      <c r="H5" s="12"/>
      <c r="I5" s="12"/>
      <c r="J5" s="12"/>
      <c r="K5" s="10" t="s">
        <v>6</v>
      </c>
      <c r="O5" s="11" t="s">
        <v>7</v>
      </c>
      <c r="P5" s="12"/>
      <c r="Q5" s="12"/>
      <c r="R5" s="12"/>
      <c r="S5" s="12"/>
      <c r="T5" s="10" t="s">
        <v>6</v>
      </c>
    </row>
    <row r="6" spans="1:22" ht="15.95" customHeight="1" x14ac:dyDescent="0.25">
      <c r="A6" s="13" t="s">
        <v>8</v>
      </c>
      <c r="C6" s="14" t="s">
        <v>9</v>
      </c>
      <c r="D6" s="15" t="s">
        <v>10</v>
      </c>
      <c r="E6" s="16"/>
      <c r="F6" s="7" t="s">
        <v>11</v>
      </c>
      <c r="G6" s="8"/>
      <c r="H6" s="8"/>
      <c r="I6" s="8"/>
      <c r="J6" s="8"/>
      <c r="K6" s="17">
        <v>86.92</v>
      </c>
      <c r="M6" s="18"/>
      <c r="N6" s="18"/>
      <c r="O6" s="7" t="s">
        <v>11</v>
      </c>
      <c r="P6" s="8"/>
      <c r="Q6" s="8"/>
      <c r="R6" s="8"/>
      <c r="S6" s="8"/>
      <c r="T6" s="17">
        <v>186.6</v>
      </c>
    </row>
    <row r="7" spans="1:22" ht="15.95" customHeight="1" x14ac:dyDescent="0.25">
      <c r="A7" s="13" t="s">
        <v>12</v>
      </c>
      <c r="C7" s="19" t="s">
        <v>13</v>
      </c>
      <c r="D7" s="15" t="s">
        <v>14</v>
      </c>
      <c r="F7" s="13" t="s">
        <v>15</v>
      </c>
      <c r="K7" s="20">
        <f>K6*0.1818</f>
        <v>15.802055999999999</v>
      </c>
      <c r="M7" s="21"/>
      <c r="N7" s="21"/>
      <c r="O7" s="13" t="s">
        <v>15</v>
      </c>
      <c r="T7" s="20">
        <f>T6*0.1818</f>
        <v>33.923879999999997</v>
      </c>
    </row>
    <row r="8" spans="1:22" ht="15.95" customHeight="1" x14ac:dyDescent="0.25">
      <c r="A8" s="13" t="s">
        <v>16</v>
      </c>
      <c r="C8" s="14" t="s">
        <v>17</v>
      </c>
      <c r="D8" s="15" t="s">
        <v>18</v>
      </c>
      <c r="F8" s="7" t="s">
        <v>19</v>
      </c>
      <c r="G8" s="8"/>
      <c r="H8" s="8"/>
      <c r="I8" s="8"/>
      <c r="J8" s="8"/>
      <c r="K8" s="22">
        <f>SUM(K6:K7)</f>
        <v>102.72205599999999</v>
      </c>
      <c r="M8" s="21"/>
      <c r="N8" s="21"/>
      <c r="O8" s="7" t="s">
        <v>19</v>
      </c>
      <c r="P8" s="8"/>
      <c r="Q8" s="8"/>
      <c r="R8" s="8"/>
      <c r="S8" s="8"/>
      <c r="T8" s="22">
        <f>SUM(T6:T7)</f>
        <v>220.52387999999999</v>
      </c>
    </row>
    <row r="9" spans="1:22" ht="15.95" customHeight="1" x14ac:dyDescent="0.25">
      <c r="A9" s="23" t="s">
        <v>20</v>
      </c>
      <c r="B9" s="24"/>
      <c r="C9" s="25" t="s">
        <v>21</v>
      </c>
      <c r="D9" s="26" t="s">
        <v>22</v>
      </c>
      <c r="M9" s="21"/>
      <c r="N9" s="21"/>
    </row>
    <row r="10" spans="1:22" ht="15.95" customHeight="1" x14ac:dyDescent="0.25"/>
    <row r="11" spans="1:22" ht="15.95" customHeight="1" x14ac:dyDescent="0.25">
      <c r="A11" s="27" t="s">
        <v>23</v>
      </c>
      <c r="B11" s="28"/>
      <c r="C11" s="28"/>
      <c r="D11" s="29"/>
      <c r="E11" s="12"/>
      <c r="F11" s="30" t="s">
        <v>24</v>
      </c>
      <c r="G11" s="31"/>
      <c r="H11" s="31"/>
      <c r="I11" s="31"/>
      <c r="J11" s="31"/>
      <c r="K11" s="31"/>
      <c r="L11" s="31"/>
      <c r="M11" s="32"/>
      <c r="N11" s="33"/>
      <c r="O11" s="34" t="s">
        <v>25</v>
      </c>
      <c r="P11" s="35"/>
      <c r="Q11" s="35"/>
      <c r="R11" s="35"/>
      <c r="S11" s="35"/>
      <c r="T11" s="35"/>
      <c r="U11" s="35"/>
      <c r="V11" s="36"/>
    </row>
    <row r="12" spans="1:22" ht="15.95" customHeight="1" x14ac:dyDescent="0.25">
      <c r="A12" s="37"/>
      <c r="B12" s="38"/>
      <c r="C12" s="38"/>
      <c r="D12" s="39"/>
      <c r="E12" s="16"/>
      <c r="F12" s="34" t="s">
        <v>26</v>
      </c>
      <c r="G12" s="36"/>
      <c r="H12" s="34" t="s">
        <v>27</v>
      </c>
      <c r="I12" s="36"/>
      <c r="J12" s="34" t="s">
        <v>28</v>
      </c>
      <c r="K12" s="36"/>
      <c r="L12" s="34" t="s">
        <v>29</v>
      </c>
      <c r="M12" s="36"/>
      <c r="N12" s="40"/>
      <c r="O12" s="41" t="s">
        <v>26</v>
      </c>
      <c r="P12" s="41"/>
      <c r="Q12" s="34" t="s">
        <v>27</v>
      </c>
      <c r="R12" s="36"/>
      <c r="S12" s="34" t="s">
        <v>28</v>
      </c>
      <c r="T12" s="36"/>
      <c r="U12" s="34" t="s">
        <v>29</v>
      </c>
      <c r="V12" s="36"/>
    </row>
    <row r="13" spans="1:22" ht="15.95" customHeight="1" x14ac:dyDescent="0.25">
      <c r="A13" s="42"/>
      <c r="B13" s="43"/>
      <c r="C13" s="43"/>
      <c r="D13" s="44"/>
      <c r="E13" s="45"/>
      <c r="F13" s="46" t="s">
        <v>30</v>
      </c>
      <c r="G13" s="47" t="s">
        <v>31</v>
      </c>
      <c r="H13" s="46" t="s">
        <v>30</v>
      </c>
      <c r="I13" s="47" t="s">
        <v>31</v>
      </c>
      <c r="J13" s="46" t="s">
        <v>30</v>
      </c>
      <c r="K13" s="47" t="s">
        <v>31</v>
      </c>
      <c r="L13" s="48" t="s">
        <v>30</v>
      </c>
      <c r="M13" s="49" t="s">
        <v>31</v>
      </c>
      <c r="N13" s="18"/>
      <c r="O13" s="46" t="s">
        <v>30</v>
      </c>
      <c r="P13" s="47" t="s">
        <v>31</v>
      </c>
      <c r="Q13" s="46" t="s">
        <v>30</v>
      </c>
      <c r="R13" s="47" t="s">
        <v>31</v>
      </c>
      <c r="S13" s="46" t="s">
        <v>30</v>
      </c>
      <c r="T13" s="47" t="s">
        <v>31</v>
      </c>
      <c r="U13" s="46" t="s">
        <v>30</v>
      </c>
      <c r="V13" s="47" t="s">
        <v>31</v>
      </c>
    </row>
    <row r="14" spans="1:22" ht="15.95" customHeight="1" x14ac:dyDescent="0.25">
      <c r="A14" s="34" t="s">
        <v>32</v>
      </c>
      <c r="B14" s="35"/>
      <c r="C14" s="35"/>
      <c r="D14" s="50" t="s">
        <v>33</v>
      </c>
      <c r="E14" s="45"/>
      <c r="F14" s="51" t="s">
        <v>6</v>
      </c>
      <c r="G14" s="52" t="s">
        <v>6</v>
      </c>
      <c r="H14" s="51" t="s">
        <v>6</v>
      </c>
      <c r="I14" s="52" t="s">
        <v>6</v>
      </c>
      <c r="J14" s="51" t="s">
        <v>6</v>
      </c>
      <c r="K14" s="52" t="s">
        <v>6</v>
      </c>
      <c r="L14" s="53" t="s">
        <v>6</v>
      </c>
      <c r="M14" s="54" t="s">
        <v>6</v>
      </c>
      <c r="N14" s="18"/>
      <c r="O14" s="51" t="s">
        <v>6</v>
      </c>
      <c r="P14" s="52" t="s">
        <v>6</v>
      </c>
      <c r="Q14" s="51" t="s">
        <v>6</v>
      </c>
      <c r="R14" s="52" t="s">
        <v>6</v>
      </c>
      <c r="S14" s="51" t="s">
        <v>6</v>
      </c>
      <c r="T14" s="52" t="s">
        <v>6</v>
      </c>
      <c r="U14" s="51" t="s">
        <v>6</v>
      </c>
      <c r="V14" s="52" t="s">
        <v>6</v>
      </c>
    </row>
    <row r="15" spans="1:22" ht="15.95" customHeight="1" x14ac:dyDescent="0.25">
      <c r="A15" s="55" t="s">
        <v>34</v>
      </c>
      <c r="B15" s="12"/>
      <c r="C15" s="12"/>
      <c r="D15" s="56">
        <v>1</v>
      </c>
      <c r="E15" s="57">
        <f>J8</f>
        <v>0</v>
      </c>
      <c r="F15" s="57">
        <f>K8</f>
        <v>102.72205599999999</v>
      </c>
      <c r="G15" s="58">
        <f>F15*1.5</f>
        <v>154.08308399999999</v>
      </c>
      <c r="H15" s="57">
        <f>K8</f>
        <v>102.72205599999999</v>
      </c>
      <c r="I15" s="58">
        <f>G15+H15</f>
        <v>256.80513999999999</v>
      </c>
      <c r="J15" s="57">
        <f>H15*2</f>
        <v>205.44411199999999</v>
      </c>
      <c r="K15" s="58">
        <f>I15</f>
        <v>256.80513999999999</v>
      </c>
      <c r="L15" s="59">
        <f>J15</f>
        <v>205.44411199999999</v>
      </c>
      <c r="M15" s="60">
        <f>G15*2</f>
        <v>308.16616799999997</v>
      </c>
      <c r="N15" s="57"/>
      <c r="O15" s="57">
        <f>T8</f>
        <v>220.52387999999999</v>
      </c>
      <c r="P15" s="58">
        <f>O15*1.5</f>
        <v>330.78582</v>
      </c>
      <c r="Q15" s="57">
        <f>O15</f>
        <v>220.52387999999999</v>
      </c>
      <c r="R15" s="58">
        <f>P15+Q15</f>
        <v>551.30970000000002</v>
      </c>
      <c r="S15" s="57">
        <f>Q15*2</f>
        <v>441.04775999999998</v>
      </c>
      <c r="T15" s="58">
        <f>R15</f>
        <v>551.30970000000002</v>
      </c>
      <c r="U15" s="57">
        <f>S15</f>
        <v>441.04775999999998</v>
      </c>
      <c r="V15" s="58">
        <f>P15*2</f>
        <v>661.57164</v>
      </c>
    </row>
    <row r="16" spans="1:22" ht="15.95" customHeight="1" x14ac:dyDescent="0.25">
      <c r="A16" s="7" t="s">
        <v>35</v>
      </c>
      <c r="B16" s="8"/>
      <c r="C16" s="8"/>
      <c r="D16" s="61">
        <v>0.1212</v>
      </c>
      <c r="E16" s="57">
        <f>E15*$D16</f>
        <v>0</v>
      </c>
      <c r="F16" s="57">
        <f>F15*$D16</f>
        <v>12.4499131872</v>
      </c>
      <c r="G16" s="57">
        <f>$G$15*$D16</f>
        <v>18.674869780799998</v>
      </c>
      <c r="H16" s="57">
        <f t="shared" ref="H16:K16" si="0">H15*$D16</f>
        <v>12.4499131872</v>
      </c>
      <c r="I16" s="57">
        <f t="shared" si="0"/>
        <v>31.124782967999998</v>
      </c>
      <c r="J16" s="57">
        <f>$J$15*$D16</f>
        <v>24.8998263744</v>
      </c>
      <c r="K16" s="57">
        <f t="shared" si="0"/>
        <v>31.124782967999998</v>
      </c>
      <c r="L16" s="57">
        <f>$L$15*$D16</f>
        <v>24.8998263744</v>
      </c>
      <c r="M16" s="57">
        <f>$M$15*$D16</f>
        <v>37.349739561599996</v>
      </c>
      <c r="N16" s="57"/>
      <c r="O16" s="57">
        <f>$O$15*$D16</f>
        <v>26.727494256</v>
      </c>
      <c r="P16" s="57">
        <f>$P$15*$D16</f>
        <v>40.091241384</v>
      </c>
      <c r="Q16" s="57">
        <f>$Q$15*$D16</f>
        <v>26.727494256</v>
      </c>
      <c r="R16" s="57">
        <f>$R$15*$D16</f>
        <v>66.81873564</v>
      </c>
      <c r="S16" s="57">
        <f>$S$15*$D16</f>
        <v>53.454988512</v>
      </c>
      <c r="T16" s="57">
        <f>$T$15*$D16</f>
        <v>66.81873564</v>
      </c>
      <c r="U16" s="57">
        <f>$U$15*$D16</f>
        <v>53.454988512</v>
      </c>
      <c r="V16" s="58">
        <f>$V$15*$D16</f>
        <v>80.182482768</v>
      </c>
    </row>
    <row r="17" spans="1:22" ht="15.95" customHeight="1" x14ac:dyDescent="0.25">
      <c r="A17" s="13" t="s">
        <v>36</v>
      </c>
      <c r="D17" s="62">
        <v>9.0899999999999995E-2</v>
      </c>
      <c r="E17" s="57">
        <f>E15*$D17</f>
        <v>0</v>
      </c>
      <c r="F17" s="57">
        <f>F15*$D17</f>
        <v>9.3374348903999991</v>
      </c>
      <c r="G17" s="57">
        <f t="shared" ref="G17:G18" si="1">$G$15*$D17</f>
        <v>14.006152335599998</v>
      </c>
      <c r="H17" s="57">
        <f t="shared" ref="H17:K17" si="2">H15*$D17</f>
        <v>9.3374348903999991</v>
      </c>
      <c r="I17" s="57">
        <f t="shared" si="2"/>
        <v>23.343587225999997</v>
      </c>
      <c r="J17" s="57">
        <f t="shared" ref="J17:J18" si="3">$J$15*$D17</f>
        <v>18.674869780799998</v>
      </c>
      <c r="K17" s="57">
        <f t="shared" si="2"/>
        <v>23.343587225999997</v>
      </c>
      <c r="L17" s="57">
        <f t="shared" ref="L17:L18" si="4">$L$15*$D17</f>
        <v>18.674869780799998</v>
      </c>
      <c r="M17" s="57">
        <f>$M$15*$D17</f>
        <v>28.012304671199995</v>
      </c>
      <c r="N17" s="57"/>
      <c r="O17" s="57">
        <f t="shared" ref="O17" si="5">$O$15*$D17</f>
        <v>20.045620691999996</v>
      </c>
      <c r="P17" s="57">
        <f t="shared" ref="P17:P18" si="6">$P$15*$D17</f>
        <v>30.068431038</v>
      </c>
      <c r="Q17" s="57">
        <f t="shared" ref="Q17" si="7">$Q$15*$D17</f>
        <v>20.045620691999996</v>
      </c>
      <c r="R17" s="57">
        <f>$R$15*$D17</f>
        <v>50.11405173</v>
      </c>
      <c r="S17" s="57">
        <f t="shared" ref="S17:S18" si="8">$S$15*$D17</f>
        <v>40.091241383999993</v>
      </c>
      <c r="T17" s="57">
        <f>$T$15*$D17</f>
        <v>50.11405173</v>
      </c>
      <c r="U17" s="57">
        <f t="shared" ref="U17:U18" si="9">$U$15*$D17</f>
        <v>40.091241383999993</v>
      </c>
      <c r="V17" s="58">
        <f t="shared" ref="V17" si="10">$V$15*$D17</f>
        <v>60.136862076</v>
      </c>
    </row>
    <row r="18" spans="1:22" ht="15.95" customHeight="1" x14ac:dyDescent="0.25">
      <c r="A18" s="7" t="s">
        <v>37</v>
      </c>
      <c r="B18" s="8"/>
      <c r="C18" s="8"/>
      <c r="D18" s="63">
        <v>9.7000000000000003E-2</v>
      </c>
      <c r="E18" s="57">
        <f>E15*$D18</f>
        <v>0</v>
      </c>
      <c r="F18" s="57">
        <f>F15*$D18</f>
        <v>9.9640394319999999</v>
      </c>
      <c r="G18" s="57">
        <f t="shared" si="1"/>
        <v>14.946059148</v>
      </c>
      <c r="H18" s="57">
        <f t="shared" ref="H18:K18" si="11">H15*$D18</f>
        <v>9.9640394319999999</v>
      </c>
      <c r="I18" s="57">
        <f t="shared" si="11"/>
        <v>24.91009858</v>
      </c>
      <c r="J18" s="57">
        <f t="shared" si="3"/>
        <v>19.928078864</v>
      </c>
      <c r="K18" s="57">
        <f t="shared" si="11"/>
        <v>24.91009858</v>
      </c>
      <c r="L18" s="57">
        <f t="shared" si="4"/>
        <v>19.928078864</v>
      </c>
      <c r="M18" s="57">
        <f t="shared" ref="M18:M19" si="12">$M$15*$D18</f>
        <v>29.892118296</v>
      </c>
      <c r="N18" s="57"/>
      <c r="O18" s="57">
        <v>21.38</v>
      </c>
      <c r="P18" s="57">
        <f t="shared" si="6"/>
        <v>32.086224540000003</v>
      </c>
      <c r="Q18" s="57">
        <v>21.38</v>
      </c>
      <c r="R18" s="57">
        <f t="shared" ref="R18" si="13">$R$15*$D18</f>
        <v>53.477040900000006</v>
      </c>
      <c r="S18" s="57">
        <f t="shared" si="8"/>
        <v>42.781632719999998</v>
      </c>
      <c r="T18" s="57">
        <f t="shared" ref="T18" si="14">$T$15*$D18</f>
        <v>53.477040900000006</v>
      </c>
      <c r="U18" s="57">
        <f t="shared" si="9"/>
        <v>42.781632719999998</v>
      </c>
      <c r="V18" s="58">
        <v>64.14</v>
      </c>
    </row>
    <row r="19" spans="1:22" ht="15.95" customHeight="1" x14ac:dyDescent="0.25">
      <c r="A19" s="13" t="s">
        <v>38</v>
      </c>
      <c r="D19" s="62">
        <v>0.28710000000000002</v>
      </c>
      <c r="E19" s="57">
        <f>E15*$D19</f>
        <v>0</v>
      </c>
      <c r="F19" s="57">
        <f>F15*$D19</f>
        <v>29.491502277600002</v>
      </c>
      <c r="G19" s="57">
        <v>44.26</v>
      </c>
      <c r="H19" s="57">
        <f t="shared" ref="H19" si="15">H15*$D19</f>
        <v>29.491502277600002</v>
      </c>
      <c r="I19" s="57">
        <v>73.72</v>
      </c>
      <c r="J19" s="57">
        <v>59</v>
      </c>
      <c r="K19" s="57">
        <v>73.72</v>
      </c>
      <c r="L19" s="57">
        <v>59</v>
      </c>
      <c r="M19" s="57">
        <f t="shared" si="12"/>
        <v>88.474506832800003</v>
      </c>
      <c r="N19" s="57"/>
      <c r="O19" s="57">
        <v>63.33</v>
      </c>
      <c r="P19" s="57">
        <v>94.98</v>
      </c>
      <c r="Q19" s="57">
        <v>63.33</v>
      </c>
      <c r="R19" s="57">
        <v>158.30000000000001</v>
      </c>
      <c r="S19" s="57">
        <v>126.64</v>
      </c>
      <c r="T19" s="57">
        <v>158.30000000000001</v>
      </c>
      <c r="U19" s="57">
        <v>126.64</v>
      </c>
      <c r="V19" s="58">
        <v>189.92</v>
      </c>
    </row>
    <row r="20" spans="1:22" ht="15.95" customHeight="1" x14ac:dyDescent="0.25">
      <c r="A20" s="7" t="s">
        <v>39</v>
      </c>
      <c r="B20" s="8"/>
      <c r="C20" s="8"/>
      <c r="D20" s="61">
        <f>SUM(D16:D19)</f>
        <v>0.59620000000000006</v>
      </c>
      <c r="E20" s="64">
        <f>SUM(E15:E19)</f>
        <v>0</v>
      </c>
      <c r="F20" s="64">
        <f>SUM(F15:F19)</f>
        <v>163.96494578720001</v>
      </c>
      <c r="G20" s="64">
        <f>SUM(G15:G19)</f>
        <v>245.97016526439998</v>
      </c>
      <c r="H20" s="64">
        <f t="shared" ref="H20:L20" si="16">SUM(H15:H19)</f>
        <v>163.96494578720001</v>
      </c>
      <c r="I20" s="64">
        <f t="shared" si="16"/>
        <v>409.90360877399996</v>
      </c>
      <c r="J20" s="64">
        <f t="shared" si="16"/>
        <v>327.94688701920001</v>
      </c>
      <c r="K20" s="64">
        <f t="shared" si="16"/>
        <v>409.90360877399996</v>
      </c>
      <c r="L20" s="64">
        <f t="shared" si="16"/>
        <v>327.94688701920001</v>
      </c>
      <c r="M20" s="64">
        <f>SUM(M15:M19)</f>
        <v>491.89483736159997</v>
      </c>
      <c r="N20" s="65"/>
      <c r="O20" s="64">
        <f>SUM(O15:O19)</f>
        <v>352.00699494799994</v>
      </c>
      <c r="P20" s="64">
        <v>528.02</v>
      </c>
      <c r="Q20" s="64">
        <f t="shared" ref="Q20:U20" si="17">SUM(Q15:Q19)</f>
        <v>352.00699494799994</v>
      </c>
      <c r="R20" s="64">
        <f t="shared" si="17"/>
        <v>880.01952827000014</v>
      </c>
      <c r="S20" s="64">
        <f t="shared" si="17"/>
        <v>704.01562261599986</v>
      </c>
      <c r="T20" s="64">
        <f t="shared" si="17"/>
        <v>880.01952827000014</v>
      </c>
      <c r="U20" s="64">
        <f t="shared" si="17"/>
        <v>704.01562261599986</v>
      </c>
      <c r="V20" s="64">
        <v>1055.96</v>
      </c>
    </row>
    <row r="21" spans="1:22" ht="18" customHeight="1" x14ac:dyDescent="0.25">
      <c r="A21" s="13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66"/>
    </row>
    <row r="22" spans="1:22" ht="18" customHeight="1" x14ac:dyDescent="0.25">
      <c r="A22" s="7" t="s">
        <v>40</v>
      </c>
      <c r="B22" s="8"/>
      <c r="C22" s="8"/>
      <c r="D22" s="67"/>
      <c r="F22" s="68">
        <v>9.98</v>
      </c>
      <c r="G22" s="68">
        <v>9.98</v>
      </c>
      <c r="H22" s="68">
        <v>9.98</v>
      </c>
      <c r="I22" s="68">
        <v>9.98</v>
      </c>
      <c r="J22" s="68">
        <v>9.98</v>
      </c>
      <c r="K22" s="68">
        <v>9.98</v>
      </c>
      <c r="L22" s="68">
        <v>9.98</v>
      </c>
      <c r="M22" s="68">
        <v>9.98</v>
      </c>
      <c r="N22" s="68">
        <v>0</v>
      </c>
      <c r="O22" s="68">
        <v>9.98</v>
      </c>
      <c r="P22" s="68">
        <v>9.98</v>
      </c>
      <c r="Q22" s="68">
        <v>9.98</v>
      </c>
      <c r="R22" s="68">
        <v>9.98</v>
      </c>
      <c r="S22" s="68">
        <v>9.98</v>
      </c>
      <c r="T22" s="68">
        <v>9.98</v>
      </c>
      <c r="U22" s="68">
        <v>9.98</v>
      </c>
      <c r="V22" s="69">
        <v>9.98</v>
      </c>
    </row>
    <row r="23" spans="1:22" ht="18" customHeight="1" x14ac:dyDescent="0.25">
      <c r="A23" s="23" t="s">
        <v>41</v>
      </c>
      <c r="B23" s="24"/>
      <c r="C23" s="24"/>
      <c r="D23" s="70"/>
      <c r="F23" s="71">
        <v>13.69</v>
      </c>
      <c r="G23" s="71">
        <v>13.69</v>
      </c>
      <c r="H23" s="71">
        <v>13.69</v>
      </c>
      <c r="I23" s="71">
        <v>13.69</v>
      </c>
      <c r="J23" s="71">
        <v>13.69</v>
      </c>
      <c r="K23" s="71">
        <v>13.69</v>
      </c>
      <c r="L23" s="71">
        <v>13.69</v>
      </c>
      <c r="M23" s="71">
        <v>13.69</v>
      </c>
      <c r="N23" s="71">
        <v>0</v>
      </c>
      <c r="O23" s="71">
        <v>13.69</v>
      </c>
      <c r="P23" s="71">
        <v>13.69</v>
      </c>
      <c r="Q23" s="71">
        <v>13.69</v>
      </c>
      <c r="R23" s="71">
        <v>13.69</v>
      </c>
      <c r="S23" s="71">
        <v>13.69</v>
      </c>
      <c r="T23" s="71">
        <v>13.69</v>
      </c>
      <c r="U23" s="71">
        <v>13.69</v>
      </c>
      <c r="V23" s="72">
        <v>13.69</v>
      </c>
    </row>
    <row r="24" spans="1:22" ht="18" customHeight="1" x14ac:dyDescent="0.25">
      <c r="A24" s="13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66"/>
    </row>
    <row r="25" spans="1:22" s="18" customFormat="1" ht="15.95" customHeight="1" x14ac:dyDescent="0.25">
      <c r="A25" s="73" t="s">
        <v>42</v>
      </c>
      <c r="B25" s="73"/>
      <c r="C25" s="73"/>
      <c r="D25" s="74">
        <v>0.9</v>
      </c>
      <c r="E25" s="75"/>
      <c r="F25" s="76">
        <f>F20*$D25</f>
        <v>147.56845120848001</v>
      </c>
      <c r="G25" s="76">
        <f t="shared" ref="G25:M25" si="18">G20*$D25</f>
        <v>221.37314873795998</v>
      </c>
      <c r="H25" s="76">
        <f t="shared" si="18"/>
        <v>147.56845120848001</v>
      </c>
      <c r="I25" s="76">
        <f t="shared" si="18"/>
        <v>368.91324789659996</v>
      </c>
      <c r="J25" s="76">
        <f t="shared" si="18"/>
        <v>295.15219831728001</v>
      </c>
      <c r="K25" s="76">
        <f t="shared" si="18"/>
        <v>368.91324789659996</v>
      </c>
      <c r="L25" s="76">
        <f t="shared" si="18"/>
        <v>295.15219831728001</v>
      </c>
      <c r="M25" s="76">
        <f t="shared" si="18"/>
        <v>442.70535362543995</v>
      </c>
      <c r="N25" s="77"/>
      <c r="O25" s="76">
        <f>O20*$D25</f>
        <v>316.80629545319994</v>
      </c>
      <c r="P25" s="76">
        <f t="shared" ref="P25:V25" si="19">P20*$D25</f>
        <v>475.21800000000002</v>
      </c>
      <c r="Q25" s="76">
        <f t="shared" si="19"/>
        <v>316.80629545319994</v>
      </c>
      <c r="R25" s="76">
        <f t="shared" si="19"/>
        <v>792.01757544300017</v>
      </c>
      <c r="S25" s="76">
        <v>633.62</v>
      </c>
      <c r="T25" s="76">
        <f t="shared" si="19"/>
        <v>792.01757544300017</v>
      </c>
      <c r="U25" s="76">
        <v>633.62</v>
      </c>
      <c r="V25" s="76">
        <f t="shared" si="19"/>
        <v>950.36400000000003</v>
      </c>
    </row>
    <row r="26" spans="1:22" s="18" customFormat="1" ht="32.25" customHeight="1" x14ac:dyDescent="0.25">
      <c r="A26" s="73"/>
      <c r="B26" s="73"/>
      <c r="C26" s="73"/>
      <c r="D26" s="74"/>
      <c r="F26" s="76"/>
      <c r="G26" s="76"/>
      <c r="H26" s="76"/>
      <c r="I26" s="76"/>
      <c r="J26" s="76"/>
      <c r="K26" s="76"/>
      <c r="L26" s="76"/>
      <c r="M26" s="76"/>
      <c r="N26" s="77"/>
      <c r="O26" s="76"/>
      <c r="P26" s="76"/>
      <c r="Q26" s="76"/>
      <c r="R26" s="76"/>
      <c r="S26" s="76"/>
      <c r="T26" s="76"/>
      <c r="U26" s="76"/>
      <c r="V26" s="76"/>
    </row>
    <row r="27" spans="1:22" ht="5.45" customHeight="1" x14ac:dyDescent="0.25">
      <c r="A27" s="13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66"/>
    </row>
    <row r="28" spans="1:22" s="18" customFormat="1" ht="15.95" customHeight="1" x14ac:dyDescent="0.25">
      <c r="A28" s="41" t="s">
        <v>43</v>
      </c>
      <c r="B28" s="41"/>
      <c r="C28" s="41"/>
      <c r="D28" s="41"/>
      <c r="E28" s="78"/>
      <c r="F28" s="64">
        <f t="shared" ref="F28:L28" si="20">SUM(F20:F27)</f>
        <v>335.20339699568001</v>
      </c>
      <c r="G28" s="64">
        <f t="shared" si="20"/>
        <v>491.01331400235995</v>
      </c>
      <c r="H28" s="64">
        <f t="shared" si="20"/>
        <v>335.20339699568001</v>
      </c>
      <c r="I28" s="64">
        <f t="shared" si="20"/>
        <v>802.48685667059999</v>
      </c>
      <c r="J28" s="64">
        <f t="shared" si="20"/>
        <v>646.76908533647998</v>
      </c>
      <c r="K28" s="64">
        <f t="shared" si="20"/>
        <v>802.48685667059999</v>
      </c>
      <c r="L28" s="64">
        <f t="shared" si="20"/>
        <v>646.76908533647998</v>
      </c>
      <c r="M28" s="64">
        <f>SUM(M20:M27)</f>
        <v>958.27019098704</v>
      </c>
      <c r="N28" s="64">
        <f t="shared" ref="N28:P28" si="21">SUM(N20:N27)</f>
        <v>0</v>
      </c>
      <c r="O28" s="64">
        <f>668.82+9.98+13.69</f>
        <v>692.49000000000012</v>
      </c>
      <c r="P28" s="64">
        <f t="shared" si="21"/>
        <v>1026.9080000000001</v>
      </c>
      <c r="Q28" s="64">
        <v>692.49</v>
      </c>
      <c r="R28" s="64">
        <f>SUM(R20:R27)</f>
        <v>1695.7071037130004</v>
      </c>
      <c r="S28" s="64">
        <f>SUM(S20:S27)</f>
        <v>1361.3056226159999</v>
      </c>
      <c r="T28" s="64">
        <f>SUM(T20:T27)</f>
        <v>1695.7071037130004</v>
      </c>
      <c r="U28" s="64">
        <f t="shared" ref="U28" si="22">SUM(U20:U27)</f>
        <v>1361.3056226159999</v>
      </c>
      <c r="V28" s="64">
        <f>2006.33+9.98+13.69</f>
        <v>2030</v>
      </c>
    </row>
  </sheetData>
  <mergeCells count="33">
    <mergeCell ref="A28:D28"/>
    <mergeCell ref="Q25:Q26"/>
    <mergeCell ref="R25:R26"/>
    <mergeCell ref="S25:S26"/>
    <mergeCell ref="T25:T26"/>
    <mergeCell ref="U25:U26"/>
    <mergeCell ref="V25:V26"/>
    <mergeCell ref="J25:J26"/>
    <mergeCell ref="K25:K26"/>
    <mergeCell ref="L25:L26"/>
    <mergeCell ref="M25:M26"/>
    <mergeCell ref="O25:O26"/>
    <mergeCell ref="P25:P26"/>
    <mergeCell ref="Q12:R12"/>
    <mergeCell ref="S12:T12"/>
    <mergeCell ref="U12:V12"/>
    <mergeCell ref="A14:C14"/>
    <mergeCell ref="A25:C26"/>
    <mergeCell ref="D25:D26"/>
    <mergeCell ref="F25:F26"/>
    <mergeCell ref="G25:G26"/>
    <mergeCell ref="H25:H26"/>
    <mergeCell ref="I25:I26"/>
    <mergeCell ref="A1:V1"/>
    <mergeCell ref="A3:V3"/>
    <mergeCell ref="A11:D13"/>
    <mergeCell ref="F11:M11"/>
    <mergeCell ref="O11:V11"/>
    <mergeCell ref="F12:G12"/>
    <mergeCell ref="H12:I12"/>
    <mergeCell ref="J12:K12"/>
    <mergeCell ref="L12:M12"/>
    <mergeCell ref="O12:P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Tatagiba</dc:creator>
  <cp:lastModifiedBy>Adalberto Tatagiba</cp:lastModifiedBy>
  <dcterms:created xsi:type="dcterms:W3CDTF">2026-09-01T20:54:56Z</dcterms:created>
  <dcterms:modified xsi:type="dcterms:W3CDTF">2026-09-01T20:55:44Z</dcterms:modified>
</cp:coreProperties>
</file>