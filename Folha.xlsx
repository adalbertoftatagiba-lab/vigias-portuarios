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a4f7fcf29a9b87/Vigias_2020_2022/"/>
    </mc:Choice>
  </mc:AlternateContent>
  <xr:revisionPtr revIDLastSave="0" documentId="8_{216226D4-CD91-4D47-B28A-1729957D9B8F}" xr6:coauthVersionLast="47" xr6:coauthVersionMax="47" xr10:uidLastSave="{00000000-0000-0000-0000-000000000000}"/>
  <bookViews>
    <workbookView xWindow="-19310" yWindow="-110" windowWidth="19420" windowHeight="10420" xr2:uid="{C274936B-F3A3-4425-8425-344228E2017E}"/>
  </bookViews>
  <sheets>
    <sheet name="Plani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6" i="1" l="1"/>
  <c r="L36" i="1"/>
  <c r="K36" i="1"/>
  <c r="I36" i="1"/>
  <c r="A24" i="1"/>
  <c r="J9" i="1"/>
  <c r="E24" i="1" s="1"/>
  <c r="B9" i="1"/>
  <c r="B24" i="1" s="1"/>
  <c r="E36" i="1" l="1"/>
  <c r="G24" i="1"/>
  <c r="F24" i="1"/>
  <c r="F36" i="1" s="1"/>
  <c r="R24" i="1" l="1"/>
  <c r="R36" i="1" s="1"/>
  <c r="Q24" i="1"/>
  <c r="Q36" i="1" s="1"/>
  <c r="P24" i="1"/>
  <c r="P36" i="1" s="1"/>
  <c r="O24" i="1"/>
  <c r="O36" i="1" s="1"/>
  <c r="J24" i="1"/>
  <c r="J36" i="1" s="1"/>
  <c r="H24" i="1"/>
  <c r="H36" i="1" s="1"/>
  <c r="G36" i="1"/>
  <c r="N24" i="1" l="1"/>
  <c r="N36" i="1" s="1"/>
</calcChain>
</file>

<file path=xl/sharedStrings.xml><?xml version="1.0" encoding="utf-8"?>
<sst xmlns="http://schemas.openxmlformats.org/spreadsheetml/2006/main" count="59" uniqueCount="53">
  <si>
    <t>Sindicato dos Vigias Portuários do Estado do Rio de Janeiro - CNPJ: 34.160.960/0001-30</t>
  </si>
  <si>
    <t>Folha de Pagamento a Trabalhador Avulso Portuário - Vigia Portuário</t>
  </si>
  <si>
    <t>Data Operação</t>
  </si>
  <si>
    <t>Porto/Cidade</t>
  </si>
  <si>
    <t>Local</t>
  </si>
  <si>
    <t>Nome da Embarcação</t>
  </si>
  <si>
    <t>Agência/Op. Portuário</t>
  </si>
  <si>
    <t>RIO DE JANEIRO</t>
  </si>
  <si>
    <t>AO LARGO</t>
  </si>
  <si>
    <t>BANGLAR ARJAN</t>
  </si>
  <si>
    <t>NORTH STAR SUDESTE SERVICOS MARITIMOS LTDA</t>
  </si>
  <si>
    <t>Matr</t>
  </si>
  <si>
    <t>Nome do Vigia</t>
  </si>
  <si>
    <t>Período</t>
  </si>
  <si>
    <t>Total</t>
  </si>
  <si>
    <t>Valor da</t>
  </si>
  <si>
    <t>MMO</t>
  </si>
  <si>
    <t>Tipo de</t>
  </si>
  <si>
    <t>Movimentação</t>
  </si>
  <si>
    <t>Observações</t>
  </si>
  <si>
    <t>Inicial</t>
  </si>
  <si>
    <t>Final</t>
  </si>
  <si>
    <t>Tipo</t>
  </si>
  <si>
    <t>Horas</t>
  </si>
  <si>
    <t>Hora</t>
  </si>
  <si>
    <t>Bruta</t>
  </si>
  <si>
    <t>Dia</t>
  </si>
  <si>
    <t>Noite</t>
  </si>
  <si>
    <t>Quinta</t>
  </si>
  <si>
    <t>REEMBARQUE</t>
  </si>
  <si>
    <t>Cálculo da Folha de Pagamento</t>
  </si>
  <si>
    <t>Identificação</t>
  </si>
  <si>
    <t>Proventos</t>
  </si>
  <si>
    <t>Descontos</t>
  </si>
  <si>
    <t>Diversos</t>
  </si>
  <si>
    <t>Líquido MMO</t>
  </si>
  <si>
    <t>Encargos Sociais</t>
  </si>
  <si>
    <t>R.S.R</t>
  </si>
  <si>
    <t>INSS</t>
  </si>
  <si>
    <t>IRRF</t>
  </si>
  <si>
    <t>DAS</t>
  </si>
  <si>
    <t>Pensão</t>
  </si>
  <si>
    <t>Crédito</t>
  </si>
  <si>
    <t>Débito</t>
  </si>
  <si>
    <t>13º</t>
  </si>
  <si>
    <t>Férias</t>
  </si>
  <si>
    <t>FGTS</t>
  </si>
  <si>
    <t>Salário</t>
  </si>
  <si>
    <t>Patronal</t>
  </si>
  <si>
    <t>Total da Folha de Pagamento</t>
  </si>
  <si>
    <t>Informativos</t>
  </si>
  <si>
    <t>a) As Férias e o 13º Salário serão pagos ao Trabalhador no dia 10 do mês subsequente dos serviços realizados;</t>
  </si>
  <si>
    <t xml:space="preserve">b) O FGTS será depositado na CEF até o dia 7 do mês subsequente e o INSS até o dia 20, também, do mês subsequente.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</si>
</sst>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3" fontId="1" fillId="0" borderId="6" xfId="0" applyNumberFormat="1" applyFont="1" applyBorder="1" applyAlignment="1">
      <alignment vertical="center"/>
    </xf>
    <xf numFmtId="39" fontId="1" fillId="0" borderId="8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43" fontId="1" fillId="0" borderId="8" xfId="0" applyNumberFormat="1" applyFont="1" applyBorder="1" applyAlignment="1">
      <alignment vertical="center"/>
    </xf>
    <xf numFmtId="43" fontId="1" fillId="0" borderId="8" xfId="1" applyFont="1" applyFill="1" applyBorder="1" applyAlignment="1">
      <alignment vertical="center"/>
    </xf>
    <xf numFmtId="43" fontId="1" fillId="0" borderId="16" xfId="0" applyNumberFormat="1" applyFont="1" applyBorder="1" applyAlignment="1">
      <alignment vertical="center"/>
    </xf>
    <xf numFmtId="43" fontId="1" fillId="0" borderId="0" xfId="0" applyNumberFormat="1" applyFont="1" applyAlignment="1">
      <alignment vertical="center"/>
    </xf>
    <xf numFmtId="43" fontId="1" fillId="0" borderId="15" xfId="0" applyNumberFormat="1" applyFont="1" applyBorder="1" applyAlignment="1">
      <alignment vertical="center"/>
    </xf>
    <xf numFmtId="43" fontId="1" fillId="0" borderId="17" xfId="0" applyNumberFormat="1" applyFont="1" applyBorder="1" applyAlignment="1">
      <alignment vertical="center"/>
    </xf>
    <xf numFmtId="43" fontId="1" fillId="0" borderId="12" xfId="0" applyNumberFormat="1" applyFont="1" applyBorder="1" applyAlignment="1">
      <alignment vertical="center"/>
    </xf>
    <xf numFmtId="43" fontId="1" fillId="0" borderId="10" xfId="0" applyNumberFormat="1" applyFont="1" applyBorder="1" applyAlignment="1">
      <alignment vertical="center"/>
    </xf>
    <xf numFmtId="43" fontId="1" fillId="0" borderId="18" xfId="0" applyNumberFormat="1" applyFont="1" applyBorder="1" applyAlignment="1">
      <alignment vertical="center"/>
    </xf>
    <xf numFmtId="43" fontId="1" fillId="0" borderId="13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43" fontId="2" fillId="0" borderId="14" xfId="0" applyNumberFormat="1" applyFon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43" fontId="2" fillId="0" borderId="19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11" xfId="0" applyFont="1" applyBorder="1"/>
    <xf numFmtId="0" fontId="1" fillId="0" borderId="12" xfId="0" applyFont="1" applyBorder="1"/>
    <xf numFmtId="0" fontId="1" fillId="0" borderId="13" xfId="0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6a4f7fcf29a9b87/Vigias_2020_2022/FOLHA%202026%202.xlsx" TargetMode="External"/><Relationship Id="rId1" Type="http://schemas.openxmlformats.org/officeDocument/2006/relationships/externalLinkPath" Target="FOLHA%202026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Planilha2"/>
    </sheetNames>
    <sheetDataSet>
      <sheetData sheetId="0"/>
      <sheetData sheetId="1">
        <row r="2">
          <cell r="A2">
            <v>1</v>
          </cell>
          <cell r="B2" t="str">
            <v>VERI ROBERTO DE OLIVEIRA</v>
          </cell>
          <cell r="C2">
            <v>159601116</v>
          </cell>
          <cell r="D2">
            <v>1</v>
          </cell>
        </row>
        <row r="3">
          <cell r="A3">
            <v>2</v>
          </cell>
          <cell r="B3" t="str">
            <v>SEBASTIAO LESSA</v>
          </cell>
          <cell r="C3">
            <v>159600990</v>
          </cell>
          <cell r="D3">
            <v>3</v>
          </cell>
        </row>
        <row r="4">
          <cell r="A4">
            <v>3</v>
          </cell>
          <cell r="B4" t="str">
            <v>ELCIO PIRES DE OLIVEIRA</v>
          </cell>
          <cell r="C4">
            <v>159600509</v>
          </cell>
          <cell r="D4">
            <v>1</v>
          </cell>
        </row>
        <row r="5">
          <cell r="A5">
            <v>3</v>
          </cell>
          <cell r="B5" t="str">
            <v>RUBEM FURTADO DA SILVA</v>
          </cell>
          <cell r="C5">
            <v>159603665</v>
          </cell>
          <cell r="D5">
            <v>4</v>
          </cell>
        </row>
        <row r="6">
          <cell r="A6">
            <v>4</v>
          </cell>
          <cell r="B6" t="str">
            <v>FRANCISCO DE SOUZA JUNIOR</v>
          </cell>
          <cell r="C6">
            <v>159600637</v>
          </cell>
          <cell r="D6">
            <v>1</v>
          </cell>
        </row>
        <row r="7">
          <cell r="A7">
            <v>5</v>
          </cell>
          <cell r="B7" t="str">
            <v>PAULO ROBERTO SARAIVA DO NASCIMENTO</v>
          </cell>
          <cell r="C7">
            <v>159600861</v>
          </cell>
          <cell r="D7">
            <v>3</v>
          </cell>
        </row>
        <row r="8">
          <cell r="A8">
            <v>7</v>
          </cell>
          <cell r="B8" t="str">
            <v>EDUARDO MARIO DOS SANTOS FONSECA</v>
          </cell>
          <cell r="C8">
            <v>159600466</v>
          </cell>
          <cell r="D8">
            <v>2</v>
          </cell>
        </row>
        <row r="9">
          <cell r="A9">
            <v>8</v>
          </cell>
          <cell r="B9" t="str">
            <v>HAMILTON DOS SANTOS</v>
          </cell>
          <cell r="C9">
            <v>159600690</v>
          </cell>
          <cell r="D9">
            <v>3</v>
          </cell>
        </row>
        <row r="10">
          <cell r="A10">
            <v>9</v>
          </cell>
          <cell r="B10" t="str">
            <v>JOSE MARIA LEANDRO DOS SANTOS</v>
          </cell>
          <cell r="C10">
            <v>159604070</v>
          </cell>
          <cell r="D10">
            <v>4</v>
          </cell>
        </row>
        <row r="11">
          <cell r="A11">
            <v>10</v>
          </cell>
          <cell r="B11" t="str">
            <v>RONILDES DE ALCANTARA RANGEL FILHO</v>
          </cell>
          <cell r="C11">
            <v>159600975</v>
          </cell>
          <cell r="D11">
            <v>1</v>
          </cell>
        </row>
        <row r="12">
          <cell r="A12">
            <v>11</v>
          </cell>
          <cell r="B12" t="str">
            <v>EDSON ROSARIO ALBUQUERQUE</v>
          </cell>
          <cell r="C12">
            <v>159600459</v>
          </cell>
          <cell r="D12">
            <v>2</v>
          </cell>
        </row>
        <row r="13">
          <cell r="A13">
            <v>12</v>
          </cell>
          <cell r="B13" t="str">
            <v>PEDRO PAULO LOUREIRO</v>
          </cell>
          <cell r="C13">
            <v>159600886</v>
          </cell>
          <cell r="D13">
            <v>4</v>
          </cell>
        </row>
        <row r="14">
          <cell r="A14">
            <v>13</v>
          </cell>
          <cell r="B14" t="str">
            <v>ANTENOR AUGUSTO CAMPELO SILVA</v>
          </cell>
          <cell r="C14">
            <v>159600150</v>
          </cell>
          <cell r="D14">
            <v>2</v>
          </cell>
        </row>
        <row r="15">
          <cell r="A15">
            <v>14</v>
          </cell>
          <cell r="B15" t="str">
            <v xml:space="preserve">JOSE CARLOS DA CAMARA                   </v>
          </cell>
          <cell r="C15">
            <v>159603918</v>
          </cell>
          <cell r="D15">
            <v>3</v>
          </cell>
        </row>
        <row r="16">
          <cell r="A16">
            <v>15</v>
          </cell>
          <cell r="B16" t="str">
            <v>CARLOS HENRIQUE DA SILVA</v>
          </cell>
          <cell r="C16">
            <v>159600313</v>
          </cell>
          <cell r="D16">
            <v>1</v>
          </cell>
        </row>
        <row r="17">
          <cell r="A17">
            <v>16</v>
          </cell>
          <cell r="B17" t="str">
            <v>WANDERLEY JOSE NABORACY</v>
          </cell>
          <cell r="C17">
            <v>159601148</v>
          </cell>
          <cell r="D17">
            <v>4</v>
          </cell>
        </row>
        <row r="18">
          <cell r="A18">
            <v>17</v>
          </cell>
          <cell r="B18" t="str">
            <v>JORGE SAMPAIO DUILIO</v>
          </cell>
          <cell r="C18">
            <v>159603754</v>
          </cell>
          <cell r="D18">
            <v>1</v>
          </cell>
        </row>
        <row r="19">
          <cell r="A19">
            <v>18</v>
          </cell>
          <cell r="B19" t="str">
            <v>ADALBERTO MEIRELES ALCANTARA</v>
          </cell>
          <cell r="C19">
            <v>159600014</v>
          </cell>
          <cell r="D19">
            <v>3</v>
          </cell>
        </row>
        <row r="20">
          <cell r="A20">
            <v>19</v>
          </cell>
          <cell r="B20" t="str">
            <v>JOAO MAURO LOPES DE OLIVEIRA</v>
          </cell>
          <cell r="C20">
            <v>159604094</v>
          </cell>
          <cell r="D20">
            <v>1</v>
          </cell>
        </row>
        <row r="21">
          <cell r="A21">
            <v>20</v>
          </cell>
          <cell r="B21" t="str">
            <v>HOMERO OLIMPIO DAMASIO JUNIOR</v>
          </cell>
          <cell r="C21">
            <v>159605698</v>
          </cell>
          <cell r="D21">
            <v>2</v>
          </cell>
        </row>
        <row r="22">
          <cell r="A22">
            <v>21</v>
          </cell>
          <cell r="B22" t="str">
            <v>ADILSON CUNHA FARIA</v>
          </cell>
          <cell r="C22">
            <v>159601205</v>
          </cell>
          <cell r="D22">
            <v>3</v>
          </cell>
        </row>
        <row r="23">
          <cell r="A23">
            <v>22</v>
          </cell>
          <cell r="B23" t="str">
            <v>WILLIAMS FERNANDO DOS SANTOS</v>
          </cell>
          <cell r="C23">
            <v>159603619</v>
          </cell>
          <cell r="D23">
            <v>4</v>
          </cell>
        </row>
        <row r="24">
          <cell r="A24">
            <v>23</v>
          </cell>
          <cell r="B24" t="str">
            <v>LUIZ CARLOS DOS SANTOS</v>
          </cell>
          <cell r="C24">
            <v>159602588</v>
          </cell>
          <cell r="D24">
            <v>1</v>
          </cell>
        </row>
        <row r="25">
          <cell r="A25">
            <v>24</v>
          </cell>
          <cell r="B25" t="str">
            <v>CARLOS TEIXEIRA SAMPAIO NETO</v>
          </cell>
          <cell r="C25">
            <v>159601632</v>
          </cell>
          <cell r="D25">
            <v>2</v>
          </cell>
        </row>
        <row r="26">
          <cell r="A26">
            <v>25</v>
          </cell>
          <cell r="B26" t="str">
            <v>MAURO ANTONIO RIBEIRO DA SILVA</v>
          </cell>
          <cell r="C26">
            <v>159602848</v>
          </cell>
        </row>
        <row r="27">
          <cell r="A27">
            <v>26</v>
          </cell>
          <cell r="B27" t="str">
            <v>WASHINGTON LUIZ DOS SANTOS</v>
          </cell>
          <cell r="C27">
            <v>159603576</v>
          </cell>
          <cell r="D27">
            <v>3</v>
          </cell>
        </row>
        <row r="28">
          <cell r="A28">
            <v>27</v>
          </cell>
          <cell r="B28" t="str">
            <v>SEBASTIAO PEREIRA DOS SANTOS</v>
          </cell>
          <cell r="C28">
            <v>159603341</v>
          </cell>
          <cell r="D28">
            <v>4</v>
          </cell>
        </row>
        <row r="29">
          <cell r="A29">
            <v>28</v>
          </cell>
          <cell r="B29" t="str">
            <v>WAGNER PEREIRA BONFIM</v>
          </cell>
          <cell r="C29">
            <v>159603512</v>
          </cell>
          <cell r="D29">
            <v>1</v>
          </cell>
        </row>
        <row r="30">
          <cell r="A30">
            <v>29</v>
          </cell>
          <cell r="B30" t="str">
            <v>PEDRO BARBOSA DA SILVA NETO</v>
          </cell>
          <cell r="C30">
            <v>159603099</v>
          </cell>
          <cell r="D30">
            <v>2</v>
          </cell>
        </row>
        <row r="31">
          <cell r="A31">
            <v>30</v>
          </cell>
          <cell r="B31" t="str">
            <v>CELSO CALDEIRA NEVES JUNIOR</v>
          </cell>
          <cell r="C31">
            <v>159601640</v>
          </cell>
          <cell r="D31">
            <v>3</v>
          </cell>
        </row>
        <row r="32">
          <cell r="A32">
            <v>31</v>
          </cell>
          <cell r="B32" t="str">
            <v>JULIO CESAR DO CARMO DUTRA</v>
          </cell>
          <cell r="C32">
            <v>159602450</v>
          </cell>
          <cell r="D32">
            <v>4</v>
          </cell>
        </row>
        <row r="33">
          <cell r="A33">
            <v>32</v>
          </cell>
          <cell r="B33" t="str">
            <v>REINALDO DE SOUSA BERNARDO</v>
          </cell>
          <cell r="C33">
            <v>159603100</v>
          </cell>
          <cell r="D33">
            <v>1</v>
          </cell>
        </row>
        <row r="34">
          <cell r="A34">
            <v>33</v>
          </cell>
          <cell r="B34" t="str">
            <v>ELSON IBERE FERREIRA COUTINHO</v>
          </cell>
          <cell r="C34">
            <v>159601850</v>
          </cell>
          <cell r="D34">
            <v>2</v>
          </cell>
        </row>
        <row r="35">
          <cell r="A35">
            <v>34</v>
          </cell>
          <cell r="B35" t="str">
            <v>ANDRE ALVES NOGUEIRA</v>
          </cell>
          <cell r="C35">
            <v>159601380</v>
          </cell>
          <cell r="D35">
            <v>3</v>
          </cell>
        </row>
        <row r="36">
          <cell r="A36">
            <v>35</v>
          </cell>
          <cell r="B36" t="str">
            <v>SERGIO BRAGA CANEDO</v>
          </cell>
          <cell r="C36">
            <v>159603366</v>
          </cell>
          <cell r="D36">
            <v>4</v>
          </cell>
        </row>
        <row r="37">
          <cell r="A37">
            <v>36</v>
          </cell>
          <cell r="B37" t="str">
            <v>HERMAN HOFFMAN RANGEL</v>
          </cell>
          <cell r="C37">
            <v>159602086</v>
          </cell>
          <cell r="D37">
            <v>1</v>
          </cell>
        </row>
        <row r="38">
          <cell r="A38">
            <v>37</v>
          </cell>
          <cell r="B38" t="str">
            <v>MARCELO BARAUNA DO NASCIMENTO</v>
          </cell>
          <cell r="C38">
            <v>159602652</v>
          </cell>
          <cell r="D38">
            <v>2</v>
          </cell>
        </row>
        <row r="39">
          <cell r="A39">
            <v>38</v>
          </cell>
          <cell r="B39" t="str">
            <v>WILSON FERNANDO DOS SANTOS</v>
          </cell>
          <cell r="C39">
            <v>159603640</v>
          </cell>
          <cell r="D39">
            <v>3</v>
          </cell>
        </row>
        <row r="40">
          <cell r="A40">
            <v>39</v>
          </cell>
          <cell r="B40" t="str">
            <v>LUIZ CLAUDIO MOURA</v>
          </cell>
          <cell r="C40">
            <v>159602595</v>
          </cell>
          <cell r="D40">
            <v>1</v>
          </cell>
        </row>
        <row r="41">
          <cell r="A41">
            <v>40</v>
          </cell>
          <cell r="B41" t="str">
            <v>SERGIO MENDES DA SILVA</v>
          </cell>
          <cell r="C41">
            <v>159603380</v>
          </cell>
          <cell r="D41">
            <v>2</v>
          </cell>
        </row>
        <row r="42">
          <cell r="A42">
            <v>41</v>
          </cell>
          <cell r="B42" t="str">
            <v>EDUARDO CALDAS SILVA DA FONSECA</v>
          </cell>
          <cell r="C42">
            <v>159601803</v>
          </cell>
          <cell r="D42">
            <v>3</v>
          </cell>
        </row>
        <row r="43">
          <cell r="A43">
            <v>42</v>
          </cell>
          <cell r="B43" t="str">
            <v>CARLOS EDUARDO ANTUNES</v>
          </cell>
          <cell r="C43">
            <v>159601600</v>
          </cell>
          <cell r="D43">
            <v>4</v>
          </cell>
        </row>
        <row r="44">
          <cell r="A44">
            <v>43</v>
          </cell>
          <cell r="B44" t="str">
            <v>ROBSON FERREIRA BONFIM</v>
          </cell>
          <cell r="C44">
            <v>159603252</v>
          </cell>
          <cell r="D44">
            <v>1</v>
          </cell>
        </row>
        <row r="45">
          <cell r="A45">
            <v>44</v>
          </cell>
          <cell r="B45" t="str">
            <v>MARCELO DE ASSIS COLHACO</v>
          </cell>
          <cell r="C45">
            <v>159602677</v>
          </cell>
          <cell r="D45">
            <v>3</v>
          </cell>
        </row>
        <row r="46">
          <cell r="A46">
            <v>45</v>
          </cell>
          <cell r="B46" t="str">
            <v>JORGE ALBERTO MADUREIRA MELO</v>
          </cell>
          <cell r="C46">
            <v>159602240</v>
          </cell>
          <cell r="D46">
            <v>4</v>
          </cell>
        </row>
        <row r="47">
          <cell r="A47">
            <v>46</v>
          </cell>
          <cell r="B47" t="str">
            <v>SIDNEY NERYS MADUREIRA</v>
          </cell>
          <cell r="C47">
            <v>159603409</v>
          </cell>
          <cell r="D47">
            <v>1</v>
          </cell>
        </row>
        <row r="48">
          <cell r="A48">
            <v>47</v>
          </cell>
          <cell r="B48" t="str">
            <v>ELENILSON BASTOS DOS SANTOS</v>
          </cell>
          <cell r="C48">
            <v>159601828</v>
          </cell>
          <cell r="D48">
            <v>2</v>
          </cell>
        </row>
        <row r="49">
          <cell r="A49">
            <v>48</v>
          </cell>
          <cell r="B49" t="str">
            <v>MAURO ASSUMPCAO SANT,ANNA</v>
          </cell>
          <cell r="C49">
            <v>159602855</v>
          </cell>
          <cell r="D49">
            <v>3</v>
          </cell>
        </row>
        <row r="50">
          <cell r="A50">
            <v>49</v>
          </cell>
          <cell r="B50" t="str">
            <v>JORGE ANTONIO DE LEMOS SOUZA</v>
          </cell>
          <cell r="C50">
            <v>159602264</v>
          </cell>
          <cell r="D50">
            <v>4</v>
          </cell>
        </row>
        <row r="51">
          <cell r="A51">
            <v>50</v>
          </cell>
          <cell r="B51" t="str">
            <v>EDJAIR ROCHA</v>
          </cell>
          <cell r="C51">
            <v>159601746</v>
          </cell>
          <cell r="D51">
            <v>1</v>
          </cell>
        </row>
        <row r="52">
          <cell r="A52">
            <v>51</v>
          </cell>
          <cell r="B52" t="str">
            <v>ANTONIO CARLOS BAPTISTA SANTOS</v>
          </cell>
          <cell r="C52">
            <v>159601447</v>
          </cell>
          <cell r="D52">
            <v>2</v>
          </cell>
        </row>
        <row r="53">
          <cell r="A53">
            <v>52</v>
          </cell>
          <cell r="B53" t="str">
            <v>VANDIVALDO CORTES SAMPAIO</v>
          </cell>
          <cell r="C53">
            <v>159603462</v>
          </cell>
          <cell r="D53">
            <v>3</v>
          </cell>
        </row>
        <row r="54">
          <cell r="A54">
            <v>53</v>
          </cell>
          <cell r="B54" t="str">
            <v>RINALDO FERREIRA ARTACHO JUNIOR</v>
          </cell>
          <cell r="C54">
            <v>159603170</v>
          </cell>
          <cell r="D54">
            <v>3</v>
          </cell>
        </row>
        <row r="55">
          <cell r="A55">
            <v>54</v>
          </cell>
          <cell r="B55" t="str">
            <v>MAURO MARCIO FERREIRA</v>
          </cell>
          <cell r="C55">
            <v>159602862</v>
          </cell>
          <cell r="D55">
            <v>4</v>
          </cell>
        </row>
        <row r="56">
          <cell r="A56">
            <v>55</v>
          </cell>
          <cell r="B56" t="str">
            <v>EDMAR ANTONIO NASCIMENTO</v>
          </cell>
          <cell r="C56">
            <v>159601753</v>
          </cell>
          <cell r="D56">
            <v>1</v>
          </cell>
        </row>
        <row r="57">
          <cell r="A57">
            <v>56</v>
          </cell>
          <cell r="B57" t="str">
            <v>ANTONIO SOARES DE FREITAS FILHO</v>
          </cell>
          <cell r="C57">
            <v>159601493</v>
          </cell>
          <cell r="D57">
            <v>2</v>
          </cell>
        </row>
        <row r="58">
          <cell r="A58">
            <v>57</v>
          </cell>
          <cell r="B58" t="str">
            <v>ARI VICENTE FERREIRA</v>
          </cell>
          <cell r="C58">
            <v>159601511</v>
          </cell>
          <cell r="D58">
            <v>3</v>
          </cell>
        </row>
        <row r="59">
          <cell r="A59">
            <v>58</v>
          </cell>
          <cell r="B59" t="str">
            <v>MOISES SOUZA DA SILVA</v>
          </cell>
          <cell r="C59">
            <v>159602894</v>
          </cell>
          <cell r="D59">
            <v>4</v>
          </cell>
        </row>
        <row r="60">
          <cell r="A60">
            <v>59</v>
          </cell>
          <cell r="B60" t="str">
            <v>JOAO LUIZ JACOBS</v>
          </cell>
          <cell r="C60">
            <v>159602232</v>
          </cell>
          <cell r="D60">
            <v>1</v>
          </cell>
        </row>
        <row r="61">
          <cell r="A61">
            <v>60</v>
          </cell>
          <cell r="B61" t="str">
            <v>PAULO ROBERTO BARRETO</v>
          </cell>
          <cell r="C61">
            <v>159603035</v>
          </cell>
          <cell r="D61">
            <v>2</v>
          </cell>
        </row>
        <row r="62">
          <cell r="A62">
            <v>61</v>
          </cell>
          <cell r="B62" t="str">
            <v>CELSO IANNUZZI</v>
          </cell>
          <cell r="C62">
            <v>159601657</v>
          </cell>
          <cell r="D62">
            <v>3</v>
          </cell>
        </row>
        <row r="63">
          <cell r="A63">
            <v>62</v>
          </cell>
          <cell r="B63" t="str">
            <v>CARLOS HENRIQUE UBIRAJARA REIS RAMOS</v>
          </cell>
          <cell r="C63">
            <v>159601618</v>
          </cell>
          <cell r="D63">
            <v>4</v>
          </cell>
        </row>
        <row r="64">
          <cell r="A64">
            <v>63</v>
          </cell>
          <cell r="B64" t="str">
            <v>JOSE AURELIO VIEIRA</v>
          </cell>
          <cell r="C64">
            <v>159602346</v>
          </cell>
          <cell r="D64">
            <v>1</v>
          </cell>
        </row>
        <row r="65">
          <cell r="A65">
            <v>64</v>
          </cell>
          <cell r="B65" t="str">
            <v>ELIEL FERNANDES</v>
          </cell>
          <cell r="C65">
            <v>159601835</v>
          </cell>
          <cell r="D65">
            <v>2</v>
          </cell>
        </row>
        <row r="66">
          <cell r="A66">
            <v>65</v>
          </cell>
          <cell r="B66" t="str">
            <v>PAULO ROBERTO DE OLIVEIRA</v>
          </cell>
          <cell r="C66">
            <v>159603050</v>
          </cell>
          <cell r="D66">
            <v>3</v>
          </cell>
        </row>
        <row r="67">
          <cell r="A67">
            <v>66</v>
          </cell>
          <cell r="B67" t="str">
            <v>ROBSON SOUZA LEAL DA PENHA</v>
          </cell>
          <cell r="C67">
            <v>159603277</v>
          </cell>
          <cell r="D67">
            <v>4</v>
          </cell>
        </row>
        <row r="68">
          <cell r="A68">
            <v>67</v>
          </cell>
          <cell r="B68" t="str">
            <v>ANDERSON FAGUNDES RIBEIRO</v>
          </cell>
          <cell r="C68">
            <v>159601365</v>
          </cell>
          <cell r="D68">
            <v>1</v>
          </cell>
        </row>
        <row r="69">
          <cell r="A69">
            <v>68</v>
          </cell>
          <cell r="B69" t="str">
            <v>JOSE ALMIR DE CARVALHO</v>
          </cell>
          <cell r="C69">
            <v>159602339</v>
          </cell>
          <cell r="D69">
            <v>2</v>
          </cell>
        </row>
        <row r="70">
          <cell r="A70">
            <v>69</v>
          </cell>
          <cell r="B70" t="str">
            <v>ALDO DE OLIVEIRA FILHO</v>
          </cell>
          <cell r="C70">
            <v>159601276</v>
          </cell>
          <cell r="D70">
            <v>3</v>
          </cell>
        </row>
        <row r="71">
          <cell r="A71">
            <v>70</v>
          </cell>
          <cell r="B71" t="str">
            <v>WELLINGTON RIBEIRO DOS SANTOS</v>
          </cell>
          <cell r="C71">
            <v>159605610</v>
          </cell>
          <cell r="D71">
            <v>4</v>
          </cell>
        </row>
        <row r="72">
          <cell r="A72">
            <v>71</v>
          </cell>
          <cell r="B72" t="str">
            <v>SEBASTIAO DE JESUS RABELO</v>
          </cell>
          <cell r="C72">
            <v>159603359</v>
          </cell>
          <cell r="D72">
            <v>2</v>
          </cell>
        </row>
        <row r="73">
          <cell r="A73">
            <v>72</v>
          </cell>
          <cell r="B73" t="str">
            <v>CHRISTIANO DE SOUZA MOREIRA</v>
          </cell>
          <cell r="C73">
            <v>159605584</v>
          </cell>
          <cell r="D73">
            <v>3</v>
          </cell>
        </row>
        <row r="74">
          <cell r="A74">
            <v>73</v>
          </cell>
          <cell r="B74" t="str">
            <v>DAVID MARINS DA SILVA</v>
          </cell>
          <cell r="C74">
            <v>159601707</v>
          </cell>
          <cell r="D74">
            <v>4</v>
          </cell>
        </row>
        <row r="75">
          <cell r="A75">
            <v>74</v>
          </cell>
          <cell r="B75" t="str">
            <v>FABIANO DE JESUS JORGE</v>
          </cell>
          <cell r="C75">
            <v>159601867</v>
          </cell>
          <cell r="D75">
            <v>2</v>
          </cell>
        </row>
        <row r="76">
          <cell r="A76">
            <v>75</v>
          </cell>
          <cell r="B76" t="str">
            <v>ROBERTO BOM</v>
          </cell>
          <cell r="C76">
            <v>159603206</v>
          </cell>
          <cell r="D76">
            <v>4</v>
          </cell>
        </row>
        <row r="77">
          <cell r="A77">
            <v>76</v>
          </cell>
          <cell r="B77" t="str">
            <v>MARCOS NICOLAU CHIARELLI PINTO</v>
          </cell>
          <cell r="C77">
            <v>159605310</v>
          </cell>
          <cell r="D77">
            <v>1</v>
          </cell>
        </row>
        <row r="78">
          <cell r="A78">
            <v>77</v>
          </cell>
          <cell r="B78" t="str">
            <v>WERLYNN SAMPAIO REIS</v>
          </cell>
          <cell r="C78">
            <v>159603590</v>
          </cell>
          <cell r="D78">
            <v>3</v>
          </cell>
        </row>
        <row r="79">
          <cell r="A79">
            <v>78</v>
          </cell>
          <cell r="B79" t="str">
            <v>MARCELO RAIMUNDO DA SILVA</v>
          </cell>
          <cell r="C79">
            <v>159602660</v>
          </cell>
          <cell r="D79">
            <v>4</v>
          </cell>
        </row>
        <row r="80">
          <cell r="A80">
            <v>79</v>
          </cell>
          <cell r="B80" t="str">
            <v>ANTONIO CARLOS DA SILVA OLIVEIRA</v>
          </cell>
          <cell r="C80">
            <v>159601454</v>
          </cell>
          <cell r="D80">
            <v>1</v>
          </cell>
        </row>
        <row r="81">
          <cell r="A81">
            <v>80</v>
          </cell>
          <cell r="B81" t="str">
            <v>JOAO CESAR PATITUCCI DUTRA E MELLO</v>
          </cell>
          <cell r="C81">
            <v>159602225</v>
          </cell>
          <cell r="D81">
            <v>4</v>
          </cell>
        </row>
        <row r="82">
          <cell r="A82">
            <v>81</v>
          </cell>
          <cell r="B82" t="str">
            <v>MARCOS ANTONIO SERAFIM DA SILVA</v>
          </cell>
          <cell r="C82">
            <v>159605303</v>
          </cell>
          <cell r="D82">
            <v>1</v>
          </cell>
        </row>
        <row r="83">
          <cell r="A83">
            <v>82</v>
          </cell>
          <cell r="B83" t="str">
            <v>PAULO EDSON DE OLIVEIRA JUNIOR</v>
          </cell>
          <cell r="C83">
            <v>159603010</v>
          </cell>
          <cell r="D83">
            <v>2</v>
          </cell>
        </row>
        <row r="84">
          <cell r="A84">
            <v>83</v>
          </cell>
          <cell r="B84" t="str">
            <v>MARCIO DE SOUZA MONTEIRO</v>
          </cell>
          <cell r="C84">
            <v>159602691</v>
          </cell>
          <cell r="D84">
            <v>3</v>
          </cell>
        </row>
        <row r="85">
          <cell r="A85">
            <v>84</v>
          </cell>
          <cell r="B85" t="str">
            <v>EDSON BATISTA DE FARIA</v>
          </cell>
          <cell r="C85">
            <v>159601785</v>
          </cell>
          <cell r="D85">
            <v>4</v>
          </cell>
        </row>
        <row r="86">
          <cell r="A86">
            <v>85</v>
          </cell>
          <cell r="B86" t="str">
            <v>ADILSON PEREIRA DOS SANTOS</v>
          </cell>
          <cell r="C86">
            <v>159601212</v>
          </cell>
          <cell r="D86">
            <v>1</v>
          </cell>
        </row>
        <row r="87">
          <cell r="A87">
            <v>86</v>
          </cell>
          <cell r="B87" t="str">
            <v>OSVALDO PIO DOS SANTOS</v>
          </cell>
          <cell r="C87">
            <v>159602951</v>
          </cell>
          <cell r="D87">
            <v>2</v>
          </cell>
        </row>
        <row r="88">
          <cell r="A88">
            <v>87</v>
          </cell>
          <cell r="B88" t="str">
            <v>MANOEL ALVES DOS SANTOS</v>
          </cell>
          <cell r="C88">
            <v>159602606</v>
          </cell>
          <cell r="D88">
            <v>4</v>
          </cell>
        </row>
        <row r="89">
          <cell r="A89">
            <v>88</v>
          </cell>
          <cell r="B89" t="str">
            <v>JULIO CESAR MARINS LEITAO</v>
          </cell>
          <cell r="C89">
            <v>159602435</v>
          </cell>
          <cell r="D89">
            <v>1</v>
          </cell>
        </row>
        <row r="90">
          <cell r="A90">
            <v>89</v>
          </cell>
          <cell r="B90" t="str">
            <v>ANDERSON MACHADO DUILIO</v>
          </cell>
          <cell r="C90">
            <v>159605381</v>
          </cell>
          <cell r="D90">
            <v>2</v>
          </cell>
        </row>
        <row r="91">
          <cell r="A91">
            <v>90</v>
          </cell>
          <cell r="B91" t="str">
            <v>FABIO JOSE DE SOUZA</v>
          </cell>
          <cell r="C91">
            <v>159605431</v>
          </cell>
          <cell r="D91">
            <v>3</v>
          </cell>
        </row>
        <row r="92">
          <cell r="A92">
            <v>91</v>
          </cell>
          <cell r="B92" t="str">
            <v>AFONSO CARLOS BORGES CEZAR</v>
          </cell>
          <cell r="C92">
            <v>159601244</v>
          </cell>
          <cell r="D92">
            <v>1</v>
          </cell>
        </row>
        <row r="93">
          <cell r="A93">
            <v>92</v>
          </cell>
          <cell r="B93" t="str">
            <v>ANTONIO CARLOS BATISTA ALVES</v>
          </cell>
          <cell r="C93">
            <v>159601430</v>
          </cell>
          <cell r="D93">
            <v>2</v>
          </cell>
        </row>
        <row r="94">
          <cell r="A94">
            <v>93</v>
          </cell>
          <cell r="B94" t="str">
            <v>FLAVIO LUIZ DA SILVA CAMPOS</v>
          </cell>
          <cell r="C94">
            <v>159604379</v>
          </cell>
          <cell r="D94">
            <v>3</v>
          </cell>
        </row>
        <row r="95">
          <cell r="A95">
            <v>94</v>
          </cell>
          <cell r="B95" t="str">
            <v>ALEXANDRE MONTEIRO DE OLIVEIRA</v>
          </cell>
          <cell r="C95">
            <v>159604183</v>
          </cell>
          <cell r="D95">
            <v>4</v>
          </cell>
        </row>
        <row r="96">
          <cell r="A96">
            <v>95</v>
          </cell>
          <cell r="B96" t="str">
            <v>LUIZ CARLOS AMORIM DE AZEVEDO</v>
          </cell>
          <cell r="C96">
            <v>159604297</v>
          </cell>
          <cell r="D96">
            <v>1</v>
          </cell>
        </row>
        <row r="97">
          <cell r="A97">
            <v>96</v>
          </cell>
          <cell r="B97" t="str">
            <v>JACI LEANDRO DOS SANTOS</v>
          </cell>
          <cell r="C97">
            <v>159607514</v>
          </cell>
          <cell r="D97">
            <v>3</v>
          </cell>
        </row>
        <row r="98">
          <cell r="A98">
            <v>97</v>
          </cell>
          <cell r="B98" t="str">
            <v>PAULO SERGIO SANTOS TIMOTEO</v>
          </cell>
          <cell r="C98">
            <v>159603081</v>
          </cell>
          <cell r="D98">
            <v>4</v>
          </cell>
        </row>
        <row r="99">
          <cell r="A99">
            <v>98</v>
          </cell>
          <cell r="B99" t="str">
            <v>ALEXANDRE CUNHA FARIA</v>
          </cell>
          <cell r="C99">
            <v>159601283</v>
          </cell>
          <cell r="D99">
            <v>4</v>
          </cell>
        </row>
        <row r="100">
          <cell r="A100">
            <v>99</v>
          </cell>
          <cell r="B100" t="str">
            <v>JAIR DOS SANTOS</v>
          </cell>
          <cell r="C100">
            <v>159602182</v>
          </cell>
          <cell r="D100">
            <v>2</v>
          </cell>
        </row>
        <row r="101">
          <cell r="A101">
            <v>100</v>
          </cell>
          <cell r="B101" t="str">
            <v>LEANDRO DE SOUZA CAMARA</v>
          </cell>
          <cell r="C101">
            <v>159602500</v>
          </cell>
          <cell r="D101">
            <v>3</v>
          </cell>
        </row>
        <row r="102">
          <cell r="A102">
            <v>101</v>
          </cell>
          <cell r="B102" t="str">
            <v>MARCIO FERREIRA BOMFIM</v>
          </cell>
          <cell r="C102">
            <v>159605292</v>
          </cell>
          <cell r="D102">
            <v>1</v>
          </cell>
        </row>
        <row r="103">
          <cell r="A103">
            <v>102</v>
          </cell>
          <cell r="B103" t="str">
            <v>MARCUS VINICIUS DO PRADO SOUZA</v>
          </cell>
          <cell r="C103">
            <v>159602773</v>
          </cell>
          <cell r="D10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4AAB-F2E7-4145-98D1-9A3AACF88527}">
  <dimension ref="A1:R40"/>
  <sheetViews>
    <sheetView tabSelected="1" workbookViewId="0">
      <selection activeCell="I8" sqref="I8"/>
    </sheetView>
  </sheetViews>
  <sheetFormatPr defaultRowHeight="15" x14ac:dyDescent="0.25"/>
  <sheetData>
    <row r="1" spans="1:18" s="4" customFormat="1" ht="14.2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s="4" customFormat="1" ht="14.25" customHeight="1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1:18" s="4" customFormat="1" ht="14.25" customHeight="1" x14ac:dyDescent="0.25"/>
    <row r="4" spans="1:18" s="7" customFormat="1" ht="14.25" customHeight="1" x14ac:dyDescent="0.25">
      <c r="A4" s="5" t="s">
        <v>2</v>
      </c>
      <c r="B4" s="6"/>
      <c r="C4" s="1" t="s">
        <v>3</v>
      </c>
      <c r="D4" s="3"/>
      <c r="E4" s="1" t="s">
        <v>4</v>
      </c>
      <c r="F4" s="2"/>
      <c r="G4" s="3"/>
      <c r="H4" s="1" t="s">
        <v>5</v>
      </c>
      <c r="I4" s="2"/>
      <c r="J4" s="3"/>
      <c r="K4" s="1" t="s">
        <v>6</v>
      </c>
      <c r="L4" s="2"/>
      <c r="M4" s="2"/>
      <c r="N4" s="2"/>
      <c r="O4" s="2"/>
      <c r="P4" s="2"/>
      <c r="Q4" s="2"/>
      <c r="R4" s="3"/>
    </row>
    <row r="5" spans="1:18" s="7" customFormat="1" ht="14.25" customHeight="1" x14ac:dyDescent="0.25">
      <c r="A5" s="8">
        <v>46261</v>
      </c>
      <c r="B5" s="9"/>
      <c r="C5" s="1" t="s">
        <v>7</v>
      </c>
      <c r="D5" s="3"/>
      <c r="E5" s="1" t="s">
        <v>8</v>
      </c>
      <c r="F5" s="2"/>
      <c r="G5" s="3"/>
      <c r="H5" s="10" t="s">
        <v>9</v>
      </c>
      <c r="I5" s="11"/>
      <c r="J5" s="12"/>
      <c r="K5" s="1" t="s">
        <v>10</v>
      </c>
      <c r="L5" s="2"/>
      <c r="M5" s="2"/>
      <c r="N5" s="2"/>
      <c r="O5" s="2"/>
      <c r="P5" s="2"/>
      <c r="Q5" s="2"/>
      <c r="R5" s="3"/>
    </row>
    <row r="6" spans="1:18" s="7" customFormat="1" ht="14.2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5"/>
    </row>
    <row r="7" spans="1:18" s="7" customFormat="1" ht="14.25" customHeight="1" x14ac:dyDescent="0.25">
      <c r="A7" s="16" t="s">
        <v>11</v>
      </c>
      <c r="B7" s="17" t="s">
        <v>12</v>
      </c>
      <c r="C7" s="18"/>
      <c r="D7" s="19"/>
      <c r="E7" s="2" t="s">
        <v>13</v>
      </c>
      <c r="F7" s="2"/>
      <c r="G7" s="3"/>
      <c r="H7" s="20" t="s">
        <v>14</v>
      </c>
      <c r="I7" s="21" t="s">
        <v>15</v>
      </c>
      <c r="J7" s="22" t="s">
        <v>16</v>
      </c>
      <c r="K7" s="21" t="s">
        <v>17</v>
      </c>
      <c r="L7" s="17" t="s">
        <v>18</v>
      </c>
      <c r="M7" s="18"/>
      <c r="N7" s="19"/>
      <c r="O7" s="17" t="s">
        <v>19</v>
      </c>
      <c r="P7" s="18"/>
      <c r="Q7" s="18"/>
      <c r="R7" s="19"/>
    </row>
    <row r="8" spans="1:18" s="7" customFormat="1" ht="14.25" customHeight="1" x14ac:dyDescent="0.25">
      <c r="A8" s="23"/>
      <c r="B8" s="24"/>
      <c r="C8" s="25"/>
      <c r="D8" s="26"/>
      <c r="E8" s="27" t="s">
        <v>20</v>
      </c>
      <c r="F8" s="28" t="s">
        <v>21</v>
      </c>
      <c r="G8" s="29" t="s">
        <v>22</v>
      </c>
      <c r="H8" s="30" t="s">
        <v>23</v>
      </c>
      <c r="I8" s="31" t="s">
        <v>24</v>
      </c>
      <c r="J8" s="32" t="s">
        <v>25</v>
      </c>
      <c r="K8" s="31" t="s">
        <v>26</v>
      </c>
      <c r="L8" s="24"/>
      <c r="M8" s="25"/>
      <c r="N8" s="26"/>
      <c r="O8" s="24"/>
      <c r="P8" s="25"/>
      <c r="Q8" s="25"/>
      <c r="R8" s="26"/>
    </row>
    <row r="9" spans="1:18" s="4" customFormat="1" ht="14.25" customHeight="1" x14ac:dyDescent="0.25">
      <c r="A9" s="33">
        <v>56</v>
      </c>
      <c r="B9" s="34" t="str">
        <f>VLOOKUP(A9,[1]Planilha2!$A$2:$D$103,2)</f>
        <v>ANTONIO SOARES DE FREITAS FILHO</v>
      </c>
      <c r="C9" s="35"/>
      <c r="D9" s="36"/>
      <c r="E9" s="37">
        <v>19</v>
      </c>
      <c r="F9" s="38">
        <v>1</v>
      </c>
      <c r="G9" s="39" t="s">
        <v>27</v>
      </c>
      <c r="H9" s="37">
        <v>6</v>
      </c>
      <c r="I9" s="40">
        <v>46.65</v>
      </c>
      <c r="J9" s="41">
        <f>H9*I9</f>
        <v>279.89999999999998</v>
      </c>
      <c r="K9" s="38" t="s">
        <v>28</v>
      </c>
      <c r="L9" s="34" t="s">
        <v>29</v>
      </c>
      <c r="M9" s="35"/>
      <c r="N9" s="36"/>
      <c r="O9" s="34"/>
      <c r="P9" s="35"/>
      <c r="Q9" s="35"/>
      <c r="R9" s="36"/>
    </row>
    <row r="10" spans="1:18" s="4" customFormat="1" ht="14.25" customHeight="1" x14ac:dyDescent="0.25">
      <c r="A10" s="42"/>
      <c r="B10" s="43"/>
      <c r="C10" s="44"/>
      <c r="D10" s="45"/>
      <c r="E10" s="42"/>
      <c r="F10" s="46"/>
      <c r="G10" s="47"/>
      <c r="H10" s="42"/>
      <c r="I10" s="46"/>
      <c r="K10" s="46"/>
      <c r="L10" s="48"/>
      <c r="M10" s="49"/>
      <c r="N10" s="50"/>
      <c r="O10" s="48"/>
      <c r="P10" s="49"/>
      <c r="Q10" s="49"/>
      <c r="R10" s="50"/>
    </row>
    <row r="11" spans="1:18" s="4" customFormat="1" ht="14.25" customHeight="1" x14ac:dyDescent="0.25">
      <c r="A11" s="42"/>
      <c r="B11" s="43"/>
      <c r="C11" s="44"/>
      <c r="D11" s="45"/>
      <c r="E11" s="42"/>
      <c r="F11" s="46"/>
      <c r="G11" s="47"/>
      <c r="H11" s="42"/>
      <c r="I11" s="46"/>
      <c r="K11" s="46"/>
      <c r="L11" s="48"/>
      <c r="M11" s="49"/>
      <c r="N11" s="50"/>
      <c r="O11" s="48"/>
      <c r="P11" s="49"/>
      <c r="Q11" s="49"/>
      <c r="R11" s="50"/>
    </row>
    <row r="12" spans="1:18" s="4" customFormat="1" ht="14.25" customHeight="1" x14ac:dyDescent="0.25">
      <c r="A12" s="42"/>
      <c r="B12" s="43"/>
      <c r="C12" s="44"/>
      <c r="D12" s="45"/>
      <c r="E12" s="42"/>
      <c r="F12" s="46"/>
      <c r="G12" s="47"/>
      <c r="H12" s="42"/>
      <c r="I12" s="46"/>
      <c r="K12" s="46"/>
      <c r="L12" s="48"/>
      <c r="M12" s="49"/>
      <c r="N12" s="50"/>
      <c r="O12" s="48"/>
      <c r="P12" s="49"/>
      <c r="Q12" s="49"/>
      <c r="R12" s="50"/>
    </row>
    <row r="13" spans="1:18" s="4" customFormat="1" ht="14.25" customHeight="1" x14ac:dyDescent="0.25">
      <c r="A13" s="42"/>
      <c r="B13" s="51"/>
      <c r="C13" s="52"/>
      <c r="D13" s="53"/>
      <c r="E13" s="42"/>
      <c r="F13" s="46"/>
      <c r="G13" s="47"/>
      <c r="H13" s="42"/>
      <c r="I13" s="46"/>
      <c r="K13" s="46"/>
      <c r="L13" s="54"/>
      <c r="M13" s="55"/>
      <c r="N13" s="56"/>
      <c r="O13" s="54"/>
      <c r="P13" s="55"/>
      <c r="Q13" s="55"/>
      <c r="R13" s="56"/>
    </row>
    <row r="14" spans="1:18" s="4" customFormat="1" ht="13.5" customHeight="1" x14ac:dyDescent="0.25">
      <c r="A14" s="42"/>
      <c r="B14" s="43"/>
      <c r="C14" s="44"/>
      <c r="D14" s="45"/>
      <c r="E14" s="42"/>
      <c r="F14" s="46"/>
      <c r="G14" s="47"/>
      <c r="H14" s="42"/>
      <c r="I14" s="46"/>
      <c r="K14" s="46"/>
      <c r="L14" s="48"/>
      <c r="M14" s="49"/>
      <c r="N14" s="50"/>
      <c r="O14" s="48"/>
      <c r="P14" s="49"/>
      <c r="Q14" s="49"/>
      <c r="R14" s="50"/>
    </row>
    <row r="15" spans="1:18" s="4" customFormat="1" ht="14.25" customHeight="1" x14ac:dyDescent="0.25">
      <c r="A15" s="42"/>
      <c r="B15" s="43"/>
      <c r="C15" s="44"/>
      <c r="D15" s="45"/>
      <c r="E15" s="42"/>
      <c r="F15" s="46"/>
      <c r="G15" s="47"/>
      <c r="H15" s="42"/>
      <c r="I15" s="46"/>
      <c r="K15" s="46"/>
      <c r="L15" s="48"/>
      <c r="M15" s="49"/>
      <c r="N15" s="50"/>
      <c r="O15" s="48"/>
      <c r="P15" s="49"/>
      <c r="Q15" s="49"/>
      <c r="R15" s="50"/>
    </row>
    <row r="16" spans="1:18" s="4" customFormat="1" ht="14.25" customHeight="1" x14ac:dyDescent="0.25">
      <c r="A16" s="42"/>
      <c r="B16" s="43"/>
      <c r="C16" s="44"/>
      <c r="D16" s="45"/>
      <c r="E16" s="42"/>
      <c r="F16" s="46"/>
      <c r="G16" s="47"/>
      <c r="H16" s="42"/>
      <c r="I16" s="46"/>
      <c r="K16" s="46"/>
      <c r="L16" s="48"/>
      <c r="M16" s="49"/>
      <c r="N16" s="50"/>
      <c r="O16" s="48"/>
      <c r="P16" s="49"/>
      <c r="Q16" s="49"/>
      <c r="R16" s="50"/>
    </row>
    <row r="17" spans="1:18" s="4" customFormat="1" ht="14.25" customHeight="1" x14ac:dyDescent="0.25">
      <c r="A17" s="42"/>
      <c r="B17" s="43"/>
      <c r="C17" s="44"/>
      <c r="D17" s="45"/>
      <c r="E17" s="42"/>
      <c r="F17" s="46"/>
      <c r="G17" s="47"/>
      <c r="H17" s="42"/>
      <c r="I17" s="46"/>
      <c r="K17" s="46"/>
      <c r="L17" s="48"/>
      <c r="M17" s="49"/>
      <c r="N17" s="50"/>
      <c r="O17" s="48"/>
      <c r="P17" s="49"/>
      <c r="Q17" s="49"/>
      <c r="R17" s="50"/>
    </row>
    <row r="18" spans="1:18" s="4" customFormat="1" ht="14.25" customHeight="1" x14ac:dyDescent="0.25">
      <c r="A18" s="42"/>
      <c r="B18" s="43"/>
      <c r="C18" s="44"/>
      <c r="D18" s="45"/>
      <c r="E18" s="42"/>
      <c r="F18" s="46"/>
      <c r="G18" s="47"/>
      <c r="H18" s="42"/>
      <c r="I18" s="46"/>
      <c r="K18" s="46"/>
      <c r="L18" s="48"/>
      <c r="M18" s="49"/>
      <c r="N18" s="50"/>
      <c r="O18" s="48"/>
      <c r="P18" s="49"/>
      <c r="Q18" s="49"/>
      <c r="R18" s="50"/>
    </row>
    <row r="19" spans="1:18" s="4" customFormat="1" ht="14.25" customHeight="1" x14ac:dyDescent="0.25">
      <c r="A19" s="57"/>
      <c r="B19" s="58"/>
      <c r="C19" s="59"/>
      <c r="D19" s="60"/>
      <c r="E19" s="57"/>
      <c r="F19" s="61"/>
      <c r="G19" s="62"/>
      <c r="H19" s="57"/>
      <c r="I19" s="61"/>
      <c r="J19" s="63"/>
      <c r="K19" s="61"/>
      <c r="L19" s="64"/>
      <c r="M19" s="65"/>
      <c r="N19" s="66"/>
      <c r="O19" s="64"/>
      <c r="P19" s="65"/>
      <c r="Q19" s="65"/>
      <c r="R19" s="66"/>
    </row>
    <row r="20" spans="1:18" s="4" customFormat="1" ht="14.25" customHeight="1" x14ac:dyDescent="0.25">
      <c r="A20" s="1" t="s">
        <v>30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3"/>
    </row>
    <row r="21" spans="1:18" s="7" customFormat="1" ht="14.25" customHeight="1" x14ac:dyDescent="0.25">
      <c r="A21" s="1" t="s">
        <v>31</v>
      </c>
      <c r="B21" s="2"/>
      <c r="C21" s="2"/>
      <c r="D21" s="3"/>
      <c r="E21" s="1" t="s">
        <v>32</v>
      </c>
      <c r="F21" s="2"/>
      <c r="G21" s="3"/>
      <c r="H21" s="1" t="s">
        <v>33</v>
      </c>
      <c r="I21" s="2"/>
      <c r="J21" s="2"/>
      <c r="K21" s="3"/>
      <c r="L21" s="1" t="s">
        <v>34</v>
      </c>
      <c r="M21" s="2"/>
      <c r="N21" s="67" t="s">
        <v>35</v>
      </c>
      <c r="O21" s="2" t="s">
        <v>36</v>
      </c>
      <c r="P21" s="2"/>
      <c r="Q21" s="2"/>
      <c r="R21" s="3"/>
    </row>
    <row r="22" spans="1:18" s="7" customFormat="1" ht="14.25" customHeight="1" x14ac:dyDescent="0.25">
      <c r="A22" s="16" t="s">
        <v>11</v>
      </c>
      <c r="B22" s="17" t="s">
        <v>12</v>
      </c>
      <c r="C22" s="18"/>
      <c r="D22" s="19"/>
      <c r="E22" s="21" t="s">
        <v>16</v>
      </c>
      <c r="F22" s="16" t="s">
        <v>37</v>
      </c>
      <c r="G22" s="16" t="s">
        <v>14</v>
      </c>
      <c r="H22" s="16" t="s">
        <v>38</v>
      </c>
      <c r="I22" s="16" t="s">
        <v>39</v>
      </c>
      <c r="J22" s="16" t="s">
        <v>40</v>
      </c>
      <c r="K22" s="16" t="s">
        <v>41</v>
      </c>
      <c r="L22" s="16" t="s">
        <v>42</v>
      </c>
      <c r="M22" s="17" t="s">
        <v>43</v>
      </c>
      <c r="N22" s="68"/>
      <c r="O22" s="69" t="s">
        <v>44</v>
      </c>
      <c r="P22" s="16" t="s">
        <v>45</v>
      </c>
      <c r="Q22" s="16" t="s">
        <v>46</v>
      </c>
      <c r="R22" s="21" t="s">
        <v>38</v>
      </c>
    </row>
    <row r="23" spans="1:18" s="7" customFormat="1" ht="14.25" customHeight="1" x14ac:dyDescent="0.25">
      <c r="A23" s="23"/>
      <c r="B23" s="24"/>
      <c r="C23" s="25"/>
      <c r="D23" s="26"/>
      <c r="E23" s="31" t="s">
        <v>25</v>
      </c>
      <c r="F23" s="23"/>
      <c r="G23" s="23"/>
      <c r="H23" s="23"/>
      <c r="I23" s="23"/>
      <c r="J23" s="23"/>
      <c r="K23" s="23"/>
      <c r="L23" s="23"/>
      <c r="M23" s="24"/>
      <c r="N23" s="70"/>
      <c r="O23" s="71" t="s">
        <v>47</v>
      </c>
      <c r="P23" s="23"/>
      <c r="Q23" s="23"/>
      <c r="R23" s="31" t="s">
        <v>48</v>
      </c>
    </row>
    <row r="24" spans="1:18" s="4" customFormat="1" ht="14.25" customHeight="1" x14ac:dyDescent="0.25">
      <c r="A24" s="72">
        <f>A9</f>
        <v>56</v>
      </c>
      <c r="B24" s="34" t="str">
        <f>B9</f>
        <v>ANTONIO SOARES DE FREITAS FILHO</v>
      </c>
      <c r="C24" s="35"/>
      <c r="D24" s="36"/>
      <c r="E24" s="73">
        <f>J9</f>
        <v>279.89999999999998</v>
      </c>
      <c r="F24" s="40">
        <f>E24*0.1818</f>
        <v>50.885819999999995</v>
      </c>
      <c r="G24" s="74">
        <f>SUM(E24:F24)</f>
        <v>330.78581999999994</v>
      </c>
      <c r="H24" s="40">
        <f>(G24+P24)*0.11</f>
        <v>40.796476752239997</v>
      </c>
      <c r="I24" s="73">
        <v>0</v>
      </c>
      <c r="J24" s="40">
        <f>G24*0.0488</f>
        <v>16.142348016</v>
      </c>
      <c r="K24" s="73">
        <v>0</v>
      </c>
      <c r="L24" s="40">
        <v>0</v>
      </c>
      <c r="M24" s="73">
        <v>0</v>
      </c>
      <c r="N24" s="75">
        <f>G24-H24-I24-J24-K24+L24-M24</f>
        <v>273.84699523175993</v>
      </c>
      <c r="O24" s="73">
        <f>G24*0.0909</f>
        <v>30.068431037999993</v>
      </c>
      <c r="P24" s="40">
        <f>G24*0.1212</f>
        <v>40.091241383999993</v>
      </c>
      <c r="Q24" s="73">
        <f>G24*0.097</f>
        <v>32.086224539999996</v>
      </c>
      <c r="R24" s="40">
        <f>G24*0.28713</f>
        <v>94.978532496599982</v>
      </c>
    </row>
    <row r="25" spans="1:18" s="4" customFormat="1" ht="14.25" customHeight="1" x14ac:dyDescent="0.25">
      <c r="A25" s="46"/>
      <c r="B25" s="48"/>
      <c r="C25" s="49"/>
      <c r="D25" s="50"/>
      <c r="E25" s="76"/>
      <c r="F25" s="77"/>
      <c r="G25" s="76"/>
      <c r="H25" s="77"/>
      <c r="I25" s="76"/>
      <c r="J25" s="77"/>
      <c r="K25" s="76"/>
      <c r="L25" s="77"/>
      <c r="M25" s="76"/>
      <c r="N25" s="78"/>
      <c r="O25" s="76"/>
      <c r="P25" s="77"/>
      <c r="Q25" s="76"/>
      <c r="R25" s="77"/>
    </row>
    <row r="26" spans="1:18" s="4" customFormat="1" ht="14.25" customHeight="1" x14ac:dyDescent="0.25">
      <c r="A26" s="46"/>
      <c r="B26" s="48"/>
      <c r="C26" s="49"/>
      <c r="D26" s="50"/>
      <c r="E26" s="76"/>
      <c r="F26" s="77"/>
      <c r="G26" s="76"/>
      <c r="H26" s="77"/>
      <c r="I26" s="76"/>
      <c r="J26" s="77"/>
      <c r="K26" s="76"/>
      <c r="L26" s="77"/>
      <c r="M26" s="76"/>
      <c r="N26" s="78"/>
      <c r="O26" s="76"/>
      <c r="P26" s="77"/>
      <c r="Q26" s="76"/>
      <c r="R26" s="77"/>
    </row>
    <row r="27" spans="1:18" s="4" customFormat="1" ht="14.25" customHeight="1" x14ac:dyDescent="0.25">
      <c r="A27" s="46"/>
      <c r="B27" s="48"/>
      <c r="C27" s="49"/>
      <c r="D27" s="50"/>
      <c r="E27" s="76"/>
      <c r="F27" s="77"/>
      <c r="G27" s="76"/>
      <c r="H27" s="77"/>
      <c r="I27" s="76"/>
      <c r="J27" s="77"/>
      <c r="K27" s="76"/>
      <c r="L27" s="77"/>
      <c r="M27" s="76"/>
      <c r="N27" s="78"/>
      <c r="O27" s="76"/>
      <c r="P27" s="77"/>
      <c r="Q27" s="76"/>
      <c r="R27" s="77"/>
    </row>
    <row r="28" spans="1:18" s="4" customFormat="1" ht="14.25" customHeight="1" x14ac:dyDescent="0.25">
      <c r="A28" s="46"/>
      <c r="B28" s="48"/>
      <c r="C28" s="49"/>
      <c r="D28" s="50"/>
      <c r="E28" s="76"/>
      <c r="F28" s="77"/>
      <c r="G28" s="76"/>
      <c r="H28" s="77"/>
      <c r="I28" s="76"/>
      <c r="J28" s="77"/>
      <c r="K28" s="76"/>
      <c r="L28" s="77"/>
      <c r="M28" s="76"/>
      <c r="N28" s="78"/>
      <c r="O28" s="76"/>
      <c r="P28" s="77"/>
      <c r="Q28" s="76"/>
      <c r="R28" s="77"/>
    </row>
    <row r="29" spans="1:18" s="4" customFormat="1" ht="14.25" customHeight="1" x14ac:dyDescent="0.25">
      <c r="A29" s="46"/>
      <c r="B29" s="54"/>
      <c r="C29" s="55"/>
      <c r="D29" s="56"/>
      <c r="E29" s="76"/>
      <c r="F29" s="77"/>
      <c r="G29" s="76"/>
      <c r="H29" s="77"/>
      <c r="I29" s="76"/>
      <c r="J29" s="77"/>
      <c r="K29" s="76"/>
      <c r="L29" s="77"/>
      <c r="M29" s="76"/>
      <c r="N29" s="78"/>
      <c r="O29" s="76"/>
      <c r="P29" s="77"/>
      <c r="Q29" s="76"/>
      <c r="R29" s="77"/>
    </row>
    <row r="30" spans="1:18" s="4" customFormat="1" ht="14.25" customHeight="1" x14ac:dyDescent="0.25">
      <c r="A30" s="46"/>
      <c r="B30" s="48"/>
      <c r="C30" s="49"/>
      <c r="D30" s="50"/>
      <c r="E30" s="76"/>
      <c r="F30" s="77"/>
      <c r="G30" s="76"/>
      <c r="H30" s="77"/>
      <c r="I30" s="76"/>
      <c r="J30" s="77"/>
      <c r="K30" s="76"/>
      <c r="L30" s="77"/>
      <c r="M30" s="76"/>
      <c r="N30" s="78"/>
      <c r="O30" s="76"/>
      <c r="P30" s="77"/>
      <c r="Q30" s="76"/>
      <c r="R30" s="77"/>
    </row>
    <row r="31" spans="1:18" s="4" customFormat="1" ht="14.25" customHeight="1" x14ac:dyDescent="0.25">
      <c r="A31" s="46"/>
      <c r="B31" s="48"/>
      <c r="C31" s="49"/>
      <c r="D31" s="50"/>
      <c r="E31" s="76"/>
      <c r="F31" s="77"/>
      <c r="G31" s="76"/>
      <c r="H31" s="77"/>
      <c r="I31" s="76"/>
      <c r="J31" s="77"/>
      <c r="K31" s="76"/>
      <c r="L31" s="77"/>
      <c r="M31" s="76"/>
      <c r="N31" s="78"/>
      <c r="O31" s="76"/>
      <c r="P31" s="77"/>
      <c r="Q31" s="76"/>
      <c r="R31" s="77"/>
    </row>
    <row r="32" spans="1:18" s="4" customFormat="1" ht="14.25" customHeight="1" x14ac:dyDescent="0.25">
      <c r="A32" s="46"/>
      <c r="B32" s="48"/>
      <c r="C32" s="49"/>
      <c r="D32" s="50"/>
      <c r="E32" s="76"/>
      <c r="F32" s="77"/>
      <c r="G32" s="76"/>
      <c r="H32" s="77"/>
      <c r="I32" s="76"/>
      <c r="J32" s="77"/>
      <c r="K32" s="76"/>
      <c r="L32" s="77"/>
      <c r="M32" s="76"/>
      <c r="N32" s="78"/>
      <c r="O32" s="76"/>
      <c r="P32" s="77"/>
      <c r="Q32" s="76"/>
      <c r="R32" s="77"/>
    </row>
    <row r="33" spans="1:18" s="4" customFormat="1" ht="14.25" customHeight="1" x14ac:dyDescent="0.25">
      <c r="A33" s="46"/>
      <c r="B33" s="48"/>
      <c r="C33" s="49"/>
      <c r="D33" s="50"/>
      <c r="E33" s="76"/>
      <c r="F33" s="77"/>
      <c r="G33" s="76"/>
      <c r="H33" s="77"/>
      <c r="I33" s="76"/>
      <c r="J33" s="77"/>
      <c r="K33" s="76"/>
      <c r="L33" s="77"/>
      <c r="M33" s="76"/>
      <c r="N33" s="78"/>
      <c r="O33" s="76"/>
      <c r="P33" s="77"/>
      <c r="Q33" s="76"/>
      <c r="R33" s="77"/>
    </row>
    <row r="34" spans="1:18" s="4" customFormat="1" ht="14.25" customHeight="1" x14ac:dyDescent="0.25">
      <c r="A34" s="61"/>
      <c r="B34" s="64"/>
      <c r="C34" s="65"/>
      <c r="D34" s="66"/>
      <c r="E34" s="79"/>
      <c r="F34" s="80"/>
      <c r="G34" s="79"/>
      <c r="H34" s="80"/>
      <c r="I34" s="79"/>
      <c r="J34" s="80"/>
      <c r="K34" s="79"/>
      <c r="L34" s="80"/>
      <c r="M34" s="79"/>
      <c r="N34" s="81"/>
      <c r="O34" s="79"/>
      <c r="P34" s="80"/>
      <c r="Q34" s="79"/>
      <c r="R34" s="80"/>
    </row>
    <row r="35" spans="1:18" s="4" customFormat="1" ht="14.25" customHeight="1" x14ac:dyDescent="0.25">
      <c r="A35" s="57"/>
      <c r="B35" s="63"/>
      <c r="C35" s="63"/>
      <c r="D35" s="63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82"/>
    </row>
    <row r="36" spans="1:18" s="7" customFormat="1" ht="14.25" customHeight="1" x14ac:dyDescent="0.25">
      <c r="A36" s="83" t="s">
        <v>49</v>
      </c>
      <c r="B36" s="84"/>
      <c r="C36" s="84"/>
      <c r="D36" s="84"/>
      <c r="E36" s="85">
        <f t="shared" ref="E36:R36" si="0">SUM(E24:E35)</f>
        <v>279.89999999999998</v>
      </c>
      <c r="F36" s="85">
        <f t="shared" si="0"/>
        <v>50.885819999999995</v>
      </c>
      <c r="G36" s="85">
        <f t="shared" si="0"/>
        <v>330.78581999999994</v>
      </c>
      <c r="H36" s="85">
        <f t="shared" si="0"/>
        <v>40.796476752239997</v>
      </c>
      <c r="I36" s="85">
        <f t="shared" si="0"/>
        <v>0</v>
      </c>
      <c r="J36" s="85">
        <f t="shared" si="0"/>
        <v>16.142348016</v>
      </c>
      <c r="K36" s="85">
        <f t="shared" si="0"/>
        <v>0</v>
      </c>
      <c r="L36" s="85">
        <f t="shared" si="0"/>
        <v>0</v>
      </c>
      <c r="M36" s="86">
        <f t="shared" si="0"/>
        <v>0</v>
      </c>
      <c r="N36" s="87">
        <f t="shared" si="0"/>
        <v>273.84699523175993</v>
      </c>
      <c r="O36" s="88">
        <f t="shared" si="0"/>
        <v>30.068431037999993</v>
      </c>
      <c r="P36" s="85">
        <f t="shared" si="0"/>
        <v>40.091241383999993</v>
      </c>
      <c r="Q36" s="85">
        <f t="shared" si="0"/>
        <v>32.086224539999996</v>
      </c>
      <c r="R36" s="85">
        <f t="shared" si="0"/>
        <v>94.978532496599982</v>
      </c>
    </row>
    <row r="37" spans="1:18" s="89" customFormat="1" ht="14.25" customHeight="1" x14ac:dyDescent="0.25"/>
    <row r="38" spans="1:18" s="89" customFormat="1" ht="14.25" customHeight="1" x14ac:dyDescent="0.25">
      <c r="A38" s="90" t="s">
        <v>50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2"/>
    </row>
    <row r="39" spans="1:18" s="89" customFormat="1" ht="14.25" customHeight="1" x14ac:dyDescent="0.25">
      <c r="A39" s="93" t="s">
        <v>51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5"/>
    </row>
    <row r="40" spans="1:18" s="89" customFormat="1" ht="14.25" customHeight="1" x14ac:dyDescent="0.25">
      <c r="A40" s="96" t="s">
        <v>52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8"/>
    </row>
  </sheetData>
  <mergeCells count="76">
    <mergeCell ref="B34:D34"/>
    <mergeCell ref="A38:R38"/>
    <mergeCell ref="B27:D27"/>
    <mergeCell ref="B28:D28"/>
    <mergeCell ref="B30:D30"/>
    <mergeCell ref="B31:D31"/>
    <mergeCell ref="B32:D32"/>
    <mergeCell ref="B33:D33"/>
    <mergeCell ref="M22:M23"/>
    <mergeCell ref="P22:P23"/>
    <mergeCell ref="Q22:Q23"/>
    <mergeCell ref="B24:D24"/>
    <mergeCell ref="B25:D25"/>
    <mergeCell ref="B26:D26"/>
    <mergeCell ref="G22:G23"/>
    <mergeCell ref="H22:H23"/>
    <mergeCell ref="I22:I23"/>
    <mergeCell ref="J22:J23"/>
    <mergeCell ref="K22:K23"/>
    <mergeCell ref="L22:L23"/>
    <mergeCell ref="A20:R20"/>
    <mergeCell ref="A21:D21"/>
    <mergeCell ref="E21:G21"/>
    <mergeCell ref="H21:K21"/>
    <mergeCell ref="L21:M21"/>
    <mergeCell ref="N21:N23"/>
    <mergeCell ref="O21:R21"/>
    <mergeCell ref="A22:A23"/>
    <mergeCell ref="B22:D23"/>
    <mergeCell ref="F22:F23"/>
    <mergeCell ref="B18:D18"/>
    <mergeCell ref="L18:N18"/>
    <mergeCell ref="O18:R18"/>
    <mergeCell ref="B19:D19"/>
    <mergeCell ref="L19:N19"/>
    <mergeCell ref="O19:R19"/>
    <mergeCell ref="B16:D16"/>
    <mergeCell ref="L16:N16"/>
    <mergeCell ref="O16:R16"/>
    <mergeCell ref="B17:D17"/>
    <mergeCell ref="L17:N17"/>
    <mergeCell ref="O17:R17"/>
    <mergeCell ref="B14:D14"/>
    <mergeCell ref="L14:N14"/>
    <mergeCell ref="O14:R14"/>
    <mergeCell ref="B15:D15"/>
    <mergeCell ref="L15:N15"/>
    <mergeCell ref="O15:R15"/>
    <mergeCell ref="B11:D11"/>
    <mergeCell ref="L11:N11"/>
    <mergeCell ref="O11:R11"/>
    <mergeCell ref="B12:D12"/>
    <mergeCell ref="L12:N12"/>
    <mergeCell ref="O12:R12"/>
    <mergeCell ref="B9:D9"/>
    <mergeCell ref="L9:N9"/>
    <mergeCell ref="O9:R9"/>
    <mergeCell ref="B10:D10"/>
    <mergeCell ref="L10:N10"/>
    <mergeCell ref="O10:R10"/>
    <mergeCell ref="A5:B5"/>
    <mergeCell ref="C5:D5"/>
    <mergeCell ref="E5:G5"/>
    <mergeCell ref="H5:J5"/>
    <mergeCell ref="K5:R5"/>
    <mergeCell ref="A7:A8"/>
    <mergeCell ref="B7:D8"/>
    <mergeCell ref="E7:G7"/>
    <mergeCell ref="L7:N8"/>
    <mergeCell ref="O7:R8"/>
    <mergeCell ref="A1:R1"/>
    <mergeCell ref="A2:R2"/>
    <mergeCell ref="C4:D4"/>
    <mergeCell ref="E4:G4"/>
    <mergeCell ref="H4:J4"/>
    <mergeCell ref="K4:R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Adalberto Tatagiba</dc:creator>
  <cp:lastModifiedBy>Adalberto Tatagiba</cp:lastModifiedBy>
  <dcterms:created xsi:type="dcterms:W3CDTF">2026-09-01T21:40:24Z</dcterms:created>
  <dcterms:modified xsi:type="dcterms:W3CDTF">2026-09-01T21:40:56Z</dcterms:modified>
</cp:coreProperties>
</file>